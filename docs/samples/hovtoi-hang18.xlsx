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 - folder temp\24.05.ht\hàng 18\"/>
    </mc:Choice>
  </mc:AlternateContent>
  <xr:revisionPtr revIDLastSave="0" documentId="13_ncr:1_{E45365E0-73B3-4E09-88DF-7A56B7AFE6D0}" xr6:coauthVersionLast="47" xr6:coauthVersionMax="47" xr10:uidLastSave="{00000000-0000-0000-0000-000000000000}"/>
  <bookViews>
    <workbookView xWindow="-110" yWindow="-110" windowWidth="25820" windowHeight="15500" activeTab="1" xr2:uid="{B5D08BC2-7DFD-45F6-BEB6-0BB39FDA8B2E}"/>
  </bookViews>
  <sheets>
    <sheet name="A15-18-PK34" sheetId="3" r:id="rId1"/>
    <sheet name="A13-18-PK34" sheetId="25" r:id="rId2"/>
    <sheet name="A12-18-PK34" sheetId="24" r:id="rId3"/>
    <sheet name="A11-18-PK34" sheetId="23" r:id="rId4"/>
    <sheet name="A10-18-PK34" sheetId="22" r:id="rId5"/>
    <sheet name="A9-18-PK34" sheetId="21" r:id="rId6"/>
    <sheet name="A8-18-PK34" sheetId="20" r:id="rId7"/>
    <sheet name="A7-18-PK34" sheetId="19" r:id="rId8"/>
    <sheet name="A6-18-PK34" sheetId="18" r:id="rId9"/>
    <sheet name="A5-18-PK34" sheetId="17" r:id="rId10"/>
    <sheet name="A4-18-PK34" sheetId="16" r:id="rId11"/>
    <sheet name="A3-18-PK34" sheetId="15" r:id="rId12"/>
    <sheet name="A2-18-PK34" sheetId="14" r:id="rId13"/>
    <sheet name="A26-18-PK34" sheetId="13" r:id="rId14"/>
    <sheet name="A25-18-PK34" sheetId="12" r:id="rId15"/>
    <sheet name="A24-18-PK34" sheetId="11" r:id="rId16"/>
    <sheet name="A23-18-PK34" sheetId="10" r:id="rId17"/>
    <sheet name="A22-18-PK34" sheetId="9" r:id="rId18"/>
    <sheet name="A20-18-PK34" sheetId="8" r:id="rId19"/>
    <sheet name="19-18-PK34" sheetId="7" r:id="rId20"/>
    <sheet name="A18-18-PK34" sheetId="6" r:id="rId21"/>
    <sheet name="A17-18-PK34" sheetId="5" r:id="rId22"/>
    <sheet name="A16-18-PK34" sheetId="4" r:id="rId23"/>
    <sheet name="A14-18-PK34" sheetId="2" r:id="rId24"/>
    <sheet name="Sheet1" sheetId="1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25" l="1"/>
  <c r="P12" i="25"/>
  <c r="P11" i="25"/>
  <c r="P13" i="24"/>
  <c r="P12" i="24"/>
  <c r="P11" i="24"/>
  <c r="P13" i="23"/>
  <c r="P12" i="23"/>
  <c r="P11" i="23"/>
  <c r="P13" i="22"/>
  <c r="P12" i="22"/>
  <c r="P11" i="22"/>
  <c r="P13" i="21"/>
  <c r="P12" i="21"/>
  <c r="P11" i="21"/>
  <c r="P13" i="20"/>
  <c r="P12" i="20"/>
  <c r="P11" i="20"/>
  <c r="P13" i="19"/>
  <c r="P12" i="19"/>
  <c r="P11" i="19"/>
  <c r="P13" i="18"/>
  <c r="P12" i="18"/>
  <c r="P11" i="18"/>
  <c r="P13" i="17"/>
  <c r="P12" i="17"/>
  <c r="P11" i="17"/>
  <c r="P13" i="16"/>
  <c r="P12" i="16"/>
  <c r="P11" i="16"/>
  <c r="P14" i="15"/>
  <c r="P13" i="15"/>
  <c r="P12" i="15"/>
  <c r="P13" i="14"/>
  <c r="P12" i="14"/>
  <c r="P11" i="14"/>
  <c r="P13" i="13"/>
  <c r="P12" i="13"/>
  <c r="P11" i="13"/>
  <c r="P13" i="12"/>
  <c r="P12" i="12"/>
  <c r="P11" i="12"/>
  <c r="P13" i="11"/>
  <c r="P12" i="11"/>
  <c r="P11" i="11"/>
  <c r="P14" i="10"/>
  <c r="P13" i="10"/>
  <c r="P12" i="10"/>
  <c r="P13" i="9"/>
  <c r="P12" i="9"/>
  <c r="P11" i="9"/>
  <c r="P14" i="8"/>
  <c r="P13" i="8"/>
  <c r="P12" i="8"/>
  <c r="P13" i="7"/>
  <c r="P12" i="7"/>
  <c r="P11" i="7"/>
  <c r="P14" i="6"/>
  <c r="P13" i="6"/>
  <c r="P12" i="6"/>
  <c r="O13" i="5"/>
  <c r="O12" i="5"/>
  <c r="O11" i="5"/>
  <c r="O10" i="5"/>
  <c r="P18" i="4"/>
  <c r="P17" i="4"/>
  <c r="P16" i="4"/>
  <c r="P15" i="4"/>
  <c r="P14" i="3"/>
  <c r="P12" i="3"/>
  <c r="P13" i="3"/>
  <c r="P11" i="3"/>
  <c r="P15" i="2"/>
  <c r="P14" i="2"/>
  <c r="P13" i="2"/>
  <c r="P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C627D9-442C-4066-9996-5884B42C9E4F}" keepAlive="1" name="Query - A20-18-PK34" description="Connection to the 'A20-18-PK34' query in the workbook." type="5" refreshedVersion="8" background="1" saveData="1">
    <dbPr connection="Provider=Microsoft.Mashup.OleDb.1;Data Source=$Workbook$;Location=A20-18-PK34;Extended Properties=&quot;&quot;" command="SELECT * FROM [A20-18-PK34]"/>
  </connection>
  <connection id="2" xr16:uid="{085A1E0A-B131-4F40-B243-F88BD6C09ABA}" keepAlive="1" name="Query - export_swch_datarecord_piledata_101834_2026-05-24" description="Connection to the 'export_swch_datarecord_piledata_101834_2026-05-24' query in the workbook." type="5" refreshedVersion="0" background="1">
    <dbPr connection="Provider=Microsoft.Mashup.OleDb.1;Data Source=$Workbook$;Location=export_swch_datarecord_piledata_101834_2026-05-24;Extended Properties=&quot;&quot;" command="SELECT * FROM [export_swch_datarecord_piledata_101834_2026-05-24]"/>
  </connection>
  <connection id="3" xr16:uid="{A2F0A842-3F6B-40CD-99A2-FC69E18C141F}" keepAlive="1" name="Query - export_swch_datarecord_piledata_111834_2026-05-24" description="Connection to the 'export_swch_datarecord_piledata_111834_2026-05-24' query in the workbook." type="5" refreshedVersion="0" background="1">
    <dbPr connection="Provider=Microsoft.Mashup.OleDb.1;Data Source=$Workbook$;Location=export_swch_datarecord_piledata_111834_2026-05-24;Extended Properties=&quot;&quot;" command="SELECT * FROM [export_swch_datarecord_piledata_111834_2026-05-24]"/>
  </connection>
  <connection id="4" xr16:uid="{737AF601-717E-4A13-ACFA-0D13AB5B4A2B}" keepAlive="1" name="Query - export_swch_datarecord_piledata_121834_2026-05-24" description="Connection to the 'export_swch_datarecord_piledata_121834_2026-05-24' query in the workbook." type="5" refreshedVersion="0" background="1">
    <dbPr connection="Provider=Microsoft.Mashup.OleDb.1;Data Source=$Workbook$;Location=export_swch_datarecord_piledata_121834_2026-05-24;Extended Properties=&quot;&quot;" command="SELECT * FROM [export_swch_datarecord_piledata_121834_2026-05-24]"/>
  </connection>
  <connection id="5" xr16:uid="{B537570A-3E5B-41A1-A300-4C5525A89690}" keepAlive="1" name="Query - export_swch_datarecord_piledata_131834_2026-05-24" description="Connection to the 'export_swch_datarecord_piledata_131834_2026-05-24' query in the workbook." type="5" refreshedVersion="0" background="1">
    <dbPr connection="Provider=Microsoft.Mashup.OleDb.1;Data Source=$Workbook$;Location=export_swch_datarecord_piledata_131834_2026-05-24;Extended Properties=&quot;&quot;" command="SELECT * FROM [export_swch_datarecord_piledata_131834_2026-05-24]"/>
  </connection>
  <connection id="6" xr16:uid="{D795AFB1-672E-4853-B128-AC59363B4763}" keepAlive="1" name="Query - export_swch_datarecord_piledata_1418_2026-05-24" description="Connection to the 'export_swch_datarecord_piledata_1418_2026-05-24' query in the workbook." type="5" refreshedVersion="0" background="1">
    <dbPr connection="Provider=Microsoft.Mashup.OleDb.1;Data Source=$Workbook$;Location=export_swch_datarecord_piledata_1418_2026-05-24;Extended Properties=&quot;&quot;" command="SELECT * FROM [export_swch_datarecord_piledata_1418_2026-05-24]"/>
  </connection>
  <connection id="7" xr16:uid="{47158910-A718-4A78-943C-252DDE9E497F}" keepAlive="1" name="Query - export_swch_datarecord_piledata_1518_2026-05-24" description="Connection to the 'export_swch_datarecord_piledata_1518_2026-05-24' query in the workbook." type="5" refreshedVersion="0" background="1">
    <dbPr connection="Provider=Microsoft.Mashup.OleDb.1;Data Source=$Workbook$;Location=export_swch_datarecord_piledata_1518_2026-05-24;Extended Properties=&quot;&quot;" command="SELECT * FROM [export_swch_datarecord_piledata_1518_2026-05-24]"/>
  </connection>
  <connection id="8" xr16:uid="{A5CB8062-1760-42D7-8E65-0971AB60FEE1}" keepAlive="1" name="Query - export_swch_datarecord_piledata_1618_2026-05-24" description="Connection to the 'export_swch_datarecord_piledata_1618_2026-05-24' query in the workbook." type="5" refreshedVersion="0" background="1">
    <dbPr connection="Provider=Microsoft.Mashup.OleDb.1;Data Source=$Workbook$;Location=export_swch_datarecord_piledata_1618_2026-05-24;Extended Properties=&quot;&quot;" command="SELECT * FROM [export_swch_datarecord_piledata_1618_2026-05-24]"/>
  </connection>
  <connection id="9" xr16:uid="{BEF27A28-F6B3-4D87-97A9-134E0A79CCDF}" keepAlive="1" name="Query - export_swch_datarecord_piledata_1718_2026-05-24" description="Connection to the 'export_swch_datarecord_piledata_1718_2026-05-24' query in the workbook." type="5" refreshedVersion="0" background="1">
    <dbPr connection="Provider=Microsoft.Mashup.OleDb.1;Data Source=$Workbook$;Location=export_swch_datarecord_piledata_1718_2026-05-24;Extended Properties=&quot;&quot;" command="SELECT * FROM [export_swch_datarecord_piledata_1718_2026-05-24]"/>
  </connection>
  <connection id="10" xr16:uid="{21764EF2-CA4C-4B87-BDFE-E8A235FA4736}" keepAlive="1" name="Query - export_swch_datarecord_piledata_1818_2026-05-24" description="Connection to the 'export_swch_datarecord_piledata_1818_2026-05-24' query in the workbook." type="5" refreshedVersion="0" background="1">
    <dbPr connection="Provider=Microsoft.Mashup.OleDb.1;Data Source=$Workbook$;Location=export_swch_datarecord_piledata_1818_2026-05-24;Extended Properties=&quot;&quot;" command="SELECT * FROM [export_swch_datarecord_piledata_1818_2026-05-24]"/>
  </connection>
  <connection id="11" xr16:uid="{F17C3826-BBCE-4363-9E72-EBCD9E335CAB}" keepAlive="1" name="Query - export_swch_datarecord_piledata_1918_2026-05-24" description="Connection to the 'export_swch_datarecord_piledata_1918_2026-05-24' query in the workbook." type="5" refreshedVersion="0" background="1">
    <dbPr connection="Provider=Microsoft.Mashup.OleDb.1;Data Source=$Workbook$;Location=export_swch_datarecord_piledata_1918_2026-05-24;Extended Properties=&quot;&quot;" command="SELECT * FROM [export_swch_datarecord_piledata_1918_2026-05-24]"/>
  </connection>
  <connection id="12" xr16:uid="{FDD3E08A-BA62-4EA6-AE12-2298D03A1292}" keepAlive="1" name="Query - export_swch_datarecord_piledata_21834_2026-05-24" description="Connection to the 'export_swch_datarecord_piledata_21834_2026-05-24' query in the workbook." type="5" refreshedVersion="0" background="1">
    <dbPr connection="Provider=Microsoft.Mashup.OleDb.1;Data Source=$Workbook$;Location=export_swch_datarecord_piledata_21834_2026-05-24;Extended Properties=&quot;&quot;" command="SELECT * FROM [export_swch_datarecord_piledata_21834_2026-05-24]"/>
  </connection>
  <connection id="13" xr16:uid="{F29D52FA-B23A-4342-86C9-A725ED8D75E3}" keepAlive="1" name="Query - export_swch_datarecord_piledata_2218_2026-05-24" description="Connection to the 'export_swch_datarecord_piledata_2218_2026-05-24' query in the workbook." type="5" refreshedVersion="0" background="1">
    <dbPr connection="Provider=Microsoft.Mashup.OleDb.1;Data Source=$Workbook$;Location=export_swch_datarecord_piledata_2218_2026-05-24;Extended Properties=&quot;&quot;" command="SELECT * FROM [export_swch_datarecord_piledata_2218_2026-05-24]"/>
  </connection>
  <connection id="14" xr16:uid="{E4749A30-77BC-46FD-A58E-BD4176CD2A86}" keepAlive="1" name="Query - export_swch_datarecord_piledata_2318_2026-05-24" description="Connection to the 'export_swch_datarecord_piledata_2318_2026-05-24' query in the workbook." type="5" refreshedVersion="0" background="1">
    <dbPr connection="Provider=Microsoft.Mashup.OleDb.1;Data Source=$Workbook$;Location=export_swch_datarecord_piledata_2318_2026-05-24;Extended Properties=&quot;&quot;" command="SELECT * FROM [export_swch_datarecord_piledata_2318_2026-05-24]"/>
  </connection>
  <connection id="15" xr16:uid="{298EBAA5-FDB5-4E60-AA96-F9EBE1B93FD1}" keepAlive="1" name="Query - export_swch_datarecord_piledata_2418_2026-05-24" description="Connection to the 'export_swch_datarecord_piledata_2418_2026-05-24' query in the workbook." type="5" refreshedVersion="0" background="1">
    <dbPr connection="Provider=Microsoft.Mashup.OleDb.1;Data Source=$Workbook$;Location=export_swch_datarecord_piledata_2418_2026-05-24;Extended Properties=&quot;&quot;" command="SELECT * FROM [export_swch_datarecord_piledata_2418_2026-05-24]"/>
  </connection>
  <connection id="16" xr16:uid="{30FDC96F-75B2-4CA5-818A-1439439B4AE6}" keepAlive="1" name="Query - export_swch_datarecord_piledata_2518_2026-05-24" description="Connection to the 'export_swch_datarecord_piledata_2518_2026-05-24' query in the workbook." type="5" refreshedVersion="0" background="1">
    <dbPr connection="Provider=Microsoft.Mashup.OleDb.1;Data Source=$Workbook$;Location=export_swch_datarecord_piledata_2518_2026-05-24;Extended Properties=&quot;&quot;" command="SELECT * FROM [export_swch_datarecord_piledata_2518_2026-05-24]"/>
  </connection>
  <connection id="17" xr16:uid="{7B4C9AAA-6508-4538-85E1-6AA4264AE1C1}" keepAlive="1" name="Query - export_swch_datarecord_piledata_2618_2026-05-24" description="Connection to the 'export_swch_datarecord_piledata_2618_2026-05-24' query in the workbook." type="5" refreshedVersion="0" background="1">
    <dbPr connection="Provider=Microsoft.Mashup.OleDb.1;Data Source=$Workbook$;Location=export_swch_datarecord_piledata_2618_2026-05-24;Extended Properties=&quot;&quot;" command="SELECT * FROM [export_swch_datarecord_piledata_2618_2026-05-24]"/>
  </connection>
  <connection id="18" xr16:uid="{25E97193-1887-4827-AA1F-AD0C208798A0}" keepAlive="1" name="Query - export_swch_datarecord_piledata_31834_2026-05-24" description="Connection to the 'export_swch_datarecord_piledata_31834_2026-05-24' query in the workbook." type="5" refreshedVersion="0" background="1">
    <dbPr connection="Provider=Microsoft.Mashup.OleDb.1;Data Source=$Workbook$;Location=export_swch_datarecord_piledata_31834_2026-05-24;Extended Properties=&quot;&quot;" command="SELECT * FROM [export_swch_datarecord_piledata_31834_2026-05-24]"/>
  </connection>
  <connection id="19" xr16:uid="{A28FA9F5-527D-4108-9095-9E8E13E239E2}" keepAlive="1" name="Query - export_swch_datarecord_piledata_41834_2026-05-24" description="Connection to the 'export_swch_datarecord_piledata_41834_2026-05-24' query in the workbook." type="5" refreshedVersion="0" background="1">
    <dbPr connection="Provider=Microsoft.Mashup.OleDb.1;Data Source=$Workbook$;Location=export_swch_datarecord_piledata_41834_2026-05-24;Extended Properties=&quot;&quot;" command="SELECT * FROM [export_swch_datarecord_piledata_41834_2026-05-24]"/>
  </connection>
  <connection id="20" xr16:uid="{572201CD-ADD1-47FB-9B57-7FD6853E98A1}" keepAlive="1" name="Query - export_swch_datarecord_piledata_51834_2026-05-24" description="Connection to the 'export_swch_datarecord_piledata_51834_2026-05-24' query in the workbook." type="5" refreshedVersion="0" background="1">
    <dbPr connection="Provider=Microsoft.Mashup.OleDb.1;Data Source=$Workbook$;Location=export_swch_datarecord_piledata_51834_2026-05-24;Extended Properties=&quot;&quot;" command="SELECT * FROM [export_swch_datarecord_piledata_51834_2026-05-24]"/>
  </connection>
  <connection id="21" xr16:uid="{7C9947DC-D344-4389-B147-24D4BF45923F}" keepAlive="1" name="Query - export_swch_datarecord_piledata_61834_2026-05-24" description="Connection to the 'export_swch_datarecord_piledata_61834_2026-05-24' query in the workbook." type="5" refreshedVersion="0" background="1">
    <dbPr connection="Provider=Microsoft.Mashup.OleDb.1;Data Source=$Workbook$;Location=export_swch_datarecord_piledata_61834_2026-05-24;Extended Properties=&quot;&quot;" command="SELECT * FROM [export_swch_datarecord_piledata_61834_2026-05-24]"/>
  </connection>
  <connection id="22" xr16:uid="{1A2E440E-B8EE-4825-9BD2-4E755C27EEF5}" keepAlive="1" name="Query - export_swch_datarecord_piledata_71834_2026-05-24" description="Connection to the 'export_swch_datarecord_piledata_71834_2026-05-24' query in the workbook." type="5" refreshedVersion="0" background="1">
    <dbPr connection="Provider=Microsoft.Mashup.OleDb.1;Data Source=$Workbook$;Location=export_swch_datarecord_piledata_71834_2026-05-24;Extended Properties=&quot;&quot;" command="SELECT * FROM [export_swch_datarecord_piledata_71834_2026-05-24]"/>
  </connection>
  <connection id="23" xr16:uid="{E8B0494B-1ABB-4E62-8F98-B1055795B094}" keepAlive="1" name="Query - export_swch_datarecord_piledata_81834_2026-05-24" description="Connection to the 'export_swch_datarecord_piledata_81834_2026-05-24' query in the workbook." type="5" refreshedVersion="0" background="1">
    <dbPr connection="Provider=Microsoft.Mashup.OleDb.1;Data Source=$Workbook$;Location=export_swch_datarecord_piledata_81834_2026-05-24;Extended Properties=&quot;&quot;" command="SELECT * FROM [export_swch_datarecord_piledata_81834_2026-05-24]"/>
  </connection>
  <connection id="24" xr16:uid="{A85C1774-42AF-45E5-AF06-A962B21B0FAF}" keepAlive="1" name="Query - export_swch_datarecord_piledata_91834_2026-05-24" description="Connection to the 'export_swch_datarecord_piledata_91834_2026-05-24' query in the workbook." type="5" refreshedVersion="0" background="1">
    <dbPr connection="Provider=Microsoft.Mashup.OleDb.1;Data Source=$Workbook$;Location=export_swch_datarecord_piledata_91834_2026-05-24;Extended Properties=&quot;&quot;" command="SELECT * FROM [export_swch_datarecord_piledata_91834_2026-05-24]"/>
  </connection>
</connections>
</file>

<file path=xl/sharedStrings.xml><?xml version="1.0" encoding="utf-8"?>
<sst xmlns="http://schemas.openxmlformats.org/spreadsheetml/2006/main" count="4937" uniqueCount="1072">
  <si>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</si>
  <si>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</si>
  <si>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</si>
  <si>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</si>
  <si>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</si>
  <si>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</si>
  <si>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</si>
  <si>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</si>
  <si>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</si>
  <si>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</si>
  <si>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</si>
  <si>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</si>
  <si>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</si>
  <si>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/>
  </si>
  <si>
    <t>Số cọc</t>
  </si>
  <si>
    <t>1418</t>
  </si>
  <si>
    <t>Đường kính cọc</t>
  </si>
  <si>
    <t>1800mm</t>
  </si>
  <si>
    <t>Độ sâu mục tiêu</t>
  </si>
  <si>
    <t>Khoan sâu</t>
  </si>
  <si>
    <t>Lưu lượng tích lũy</t>
  </si>
  <si>
    <t>2496L</t>
  </si>
  <si>
    <t>Thời gian tích lũy</t>
  </si>
  <si>
    <t xml:space="preserve">0:24:42  </t>
  </si>
  <si>
    <t>Thời gian bắt đầu</t>
  </si>
  <si>
    <t>2026-05-24</t>
  </si>
  <si>
    <t>22:52</t>
  </si>
  <si>
    <t>Thời gian kết thúc</t>
  </si>
  <si>
    <t>23:17</t>
  </si>
  <si>
    <t>TT</t>
  </si>
  <si>
    <t>Thời gian</t>
  </si>
  <si>
    <t>Độ sâu</t>
  </si>
  <si>
    <t>Lưu lượng tức thì</t>
  </si>
  <si>
    <t>Lưu lượng đoạn</t>
  </si>
  <si>
    <t>Vòng quay</t>
  </si>
  <si>
    <t>Tốc độ Tời chính</t>
  </si>
  <si>
    <t>Đầu động lựcdòng điện</t>
  </si>
  <si>
    <t>nghiêngX</t>
  </si>
  <si>
    <t>nghiêngY</t>
  </si>
  <si>
    <t>1</t>
  </si>
  <si>
    <t>22:53</t>
  </si>
  <si>
    <t>0.00</t>
  </si>
  <si>
    <t>0</t>
  </si>
  <si>
    <t>0.0</t>
  </si>
  <si>
    <t>2026-05-24 22:53:32</t>
  </si>
  <si>
    <t>2</t>
  </si>
  <si>
    <t>3</t>
  </si>
  <si>
    <t>2026-05-24 22:53:51</t>
  </si>
  <si>
    <t>4</t>
  </si>
  <si>
    <t>22:54</t>
  </si>
  <si>
    <t>2026-05-24 22:54:09</t>
  </si>
  <si>
    <t>5</t>
  </si>
  <si>
    <t>-0.2</t>
  </si>
  <si>
    <t>2026-05-24 22:54:28</t>
  </si>
  <si>
    <t>6</t>
  </si>
  <si>
    <t>2026-05-24 22:54:47</t>
  </si>
  <si>
    <t>7</t>
  </si>
  <si>
    <t>22:55</t>
  </si>
  <si>
    <t>86</t>
  </si>
  <si>
    <t>2026-05-24 22:55:07</t>
  </si>
  <si>
    <t>8</t>
  </si>
  <si>
    <t>2026-05-24 22:55:26</t>
  </si>
  <si>
    <t>9</t>
  </si>
  <si>
    <t>85</t>
  </si>
  <si>
    <t>2026-05-24 22:55:45</t>
  </si>
  <si>
    <t>10</t>
  </si>
  <si>
    <t>22:56</t>
  </si>
  <si>
    <t>2026-05-24 22:56:05</t>
  </si>
  <si>
    <t>11</t>
  </si>
  <si>
    <t>22:58</t>
  </si>
  <si>
    <t>2026-05-24 22:58:04</t>
  </si>
  <si>
    <t>12</t>
  </si>
  <si>
    <t>23:01</t>
  </si>
  <si>
    <t>87</t>
  </si>
  <si>
    <t>2026-05-24 23:01:02</t>
  </si>
  <si>
    <t>13</t>
  </si>
  <si>
    <t>23:03</t>
  </si>
  <si>
    <t>289</t>
  </si>
  <si>
    <t>2026-05-24 23:03:44</t>
  </si>
  <si>
    <t>14</t>
  </si>
  <si>
    <t>23:06</t>
  </si>
  <si>
    <t>97</t>
  </si>
  <si>
    <t>2026-05-24 23:06:27</t>
  </si>
  <si>
    <t>15</t>
  </si>
  <si>
    <t>23:07</t>
  </si>
  <si>
    <t>2026-05-24 23:07:57</t>
  </si>
  <si>
    <t>16</t>
  </si>
  <si>
    <t>23:08</t>
  </si>
  <si>
    <t>93</t>
  </si>
  <si>
    <t>2026-05-24 23:08:11</t>
  </si>
  <si>
    <t>17</t>
  </si>
  <si>
    <t>23:10</t>
  </si>
  <si>
    <t>27</t>
  </si>
  <si>
    <t>2026-05-24 23:10:26</t>
  </si>
  <si>
    <t>18</t>
  </si>
  <si>
    <t>23:11</t>
  </si>
  <si>
    <t>23</t>
  </si>
  <si>
    <t>2026-05-24 23:11:27</t>
  </si>
  <si>
    <t>19</t>
  </si>
  <si>
    <t>23:12</t>
  </si>
  <si>
    <t>2026-05-24 23:12:29</t>
  </si>
  <si>
    <t>20</t>
  </si>
  <si>
    <t>23:13</t>
  </si>
  <si>
    <t>2026-05-24 23:13:15</t>
  </si>
  <si>
    <t>21</t>
  </si>
  <si>
    <t>2026-05-24 23:13:51</t>
  </si>
  <si>
    <t>22</t>
  </si>
  <si>
    <t>23:14</t>
  </si>
  <si>
    <t>2026-05-24 23:14:12</t>
  </si>
  <si>
    <t>2026-05-24 23:14:39</t>
  </si>
  <si>
    <t>24</t>
  </si>
  <si>
    <t>2026-05-24 23:14:59</t>
  </si>
  <si>
    <t>25</t>
  </si>
  <si>
    <t>23:15</t>
  </si>
  <si>
    <t>2026-05-24 23:15:19</t>
  </si>
  <si>
    <t>26</t>
  </si>
  <si>
    <t>2026-05-24 23:15:40</t>
  </si>
  <si>
    <t>23:16</t>
  </si>
  <si>
    <t>2026-05-24 23:16:00</t>
  </si>
  <si>
    <t>28</t>
  </si>
  <si>
    <t>2026-05-24 23:16:19</t>
  </si>
  <si>
    <t>29</t>
  </si>
  <si>
    <t>2026-05-24 23:16:44</t>
  </si>
  <si>
    <t>13,58m</t>
  </si>
  <si>
    <t>CĐ ĐỈnh</t>
  </si>
  <si>
    <t>VX</t>
  </si>
  <si>
    <t>VL</t>
  </si>
  <si>
    <t>LLV</t>
  </si>
  <si>
    <t>1518</t>
  </si>
  <si>
    <t>13.66m</t>
  </si>
  <si>
    <t>13.68m</t>
  </si>
  <si>
    <t>2282L</t>
  </si>
  <si>
    <t xml:space="preserve">0:21:56  </t>
  </si>
  <si>
    <t>22:22</t>
  </si>
  <si>
    <t>22:44</t>
  </si>
  <si>
    <t>22:23</t>
  </si>
  <si>
    <t>2026-05-24 22:23:25</t>
  </si>
  <si>
    <t>2026-05-24 22:23:39</t>
  </si>
  <si>
    <t>2026-05-24 22:23:53</t>
  </si>
  <si>
    <t>22:24</t>
  </si>
  <si>
    <t>2026-05-24 22:24:07</t>
  </si>
  <si>
    <t>2026-05-24 22:24:22</t>
  </si>
  <si>
    <t>2026-05-24 22:24:37</t>
  </si>
  <si>
    <t>165</t>
  </si>
  <si>
    <t>2026-05-24 22:24:52</t>
  </si>
  <si>
    <t>22:25</t>
  </si>
  <si>
    <t>2026-05-24 22:25:07</t>
  </si>
  <si>
    <t>2026-05-24 22:25:22</t>
  </si>
  <si>
    <t>2026-05-24 22:25:38</t>
  </si>
  <si>
    <t>22:28</t>
  </si>
  <si>
    <t>287</t>
  </si>
  <si>
    <t>468</t>
  </si>
  <si>
    <t>2026-05-24 22:28:37</t>
  </si>
  <si>
    <t>22:31</t>
  </si>
  <si>
    <t>1169</t>
  </si>
  <si>
    <t>91</t>
  </si>
  <si>
    <t>2026-05-24 22:31:05</t>
  </si>
  <si>
    <t>22:33</t>
  </si>
  <si>
    <t>293</t>
  </si>
  <si>
    <t>1891</t>
  </si>
  <si>
    <t>2026-05-24 22:33:37</t>
  </si>
  <si>
    <t>22:34</t>
  </si>
  <si>
    <t>2218</t>
  </si>
  <si>
    <t>98</t>
  </si>
  <si>
    <t>2026-05-24 22:34:46</t>
  </si>
  <si>
    <t>241</t>
  </si>
  <si>
    <t>2265</t>
  </si>
  <si>
    <t>2026-05-24 22:34:56</t>
  </si>
  <si>
    <t>22:35</t>
  </si>
  <si>
    <t>2275</t>
  </si>
  <si>
    <t>105</t>
  </si>
  <si>
    <t>2026-05-24 22:35:35</t>
  </si>
  <si>
    <t>22:38</t>
  </si>
  <si>
    <t>2276</t>
  </si>
  <si>
    <t>2026-05-24 22:38:01</t>
  </si>
  <si>
    <t>22:39</t>
  </si>
  <si>
    <t>2277</t>
  </si>
  <si>
    <t>2026-05-24 22:39:06</t>
  </si>
  <si>
    <t>22:40</t>
  </si>
  <si>
    <t>2278</t>
  </si>
  <si>
    <t>2026-05-24 22:40:07</t>
  </si>
  <si>
    <t>2279</t>
  </si>
  <si>
    <t>2026-05-24 22:40:48</t>
  </si>
  <si>
    <t>22:41</t>
  </si>
  <si>
    <t>2026-05-24 22:41:21</t>
  </si>
  <si>
    <t>2280</t>
  </si>
  <si>
    <t>2026-05-24 22:41:44</t>
  </si>
  <si>
    <t>22:42</t>
  </si>
  <si>
    <t>2026-05-24 22:42:04</t>
  </si>
  <si>
    <t>2026-05-24 22:42:25</t>
  </si>
  <si>
    <t>2026-05-24 22:42:45</t>
  </si>
  <si>
    <t>22:43</t>
  </si>
  <si>
    <t>2281</t>
  </si>
  <si>
    <t>2026-05-24 22:43:06</t>
  </si>
  <si>
    <t>2026-05-24 22:43:25</t>
  </si>
  <si>
    <t>2026-05-24 22:43:44</t>
  </si>
  <si>
    <t>30</t>
  </si>
  <si>
    <t>2026-05-24 22:44:03</t>
  </si>
  <si>
    <t>CĐ ĐỈNH</t>
  </si>
  <si>
    <t>1618</t>
  </si>
  <si>
    <t>13.77m</t>
  </si>
  <si>
    <t>2292L</t>
  </si>
  <si>
    <t xml:space="preserve">0:21:23  </t>
  </si>
  <si>
    <t>21:52</t>
  </si>
  <si>
    <t>22:13</t>
  </si>
  <si>
    <t>21:53</t>
  </si>
  <si>
    <t>2026-05-24 21:53:55</t>
  </si>
  <si>
    <t>21:54</t>
  </si>
  <si>
    <t>2026-05-24 21:54:09</t>
  </si>
  <si>
    <t>2026-05-24 21:54:23</t>
  </si>
  <si>
    <t>2026-05-24 21:54:38</t>
  </si>
  <si>
    <t>2026-05-24 21:54:53</t>
  </si>
  <si>
    <t>21:55</t>
  </si>
  <si>
    <t>2026-05-24 21:55:08</t>
  </si>
  <si>
    <t>2026-05-24 21:55:23</t>
  </si>
  <si>
    <t>2026-05-24 21:55:38</t>
  </si>
  <si>
    <t>2026-05-24 21:55:53</t>
  </si>
  <si>
    <t>21:56</t>
  </si>
  <si>
    <t>2026-05-24 21:56:08</t>
  </si>
  <si>
    <t>21:58</t>
  </si>
  <si>
    <t>2026-05-24 21:58:43</t>
  </si>
  <si>
    <t>22:01</t>
  </si>
  <si>
    <t>2026-05-24 22:01:05</t>
  </si>
  <si>
    <t>22:03</t>
  </si>
  <si>
    <t>2026-05-24 22:03:41</t>
  </si>
  <si>
    <t>22:05</t>
  </si>
  <si>
    <t>2026-05-24 22:05:31</t>
  </si>
  <si>
    <t>2026-05-24 22:05:38</t>
  </si>
  <si>
    <t>2026-05-24 22:05:51</t>
  </si>
  <si>
    <t>22:07</t>
  </si>
  <si>
    <t>2026-05-24 22:07:49</t>
  </si>
  <si>
    <t>22:08</t>
  </si>
  <si>
    <t>2026-05-24 22:08:54</t>
  </si>
  <si>
    <t>22:09</t>
  </si>
  <si>
    <t>2026-05-24 22:09:59</t>
  </si>
  <si>
    <t>22:10</t>
  </si>
  <si>
    <t>2026-05-24 22:10:22</t>
  </si>
  <si>
    <t>2026-05-24 22:10:43</t>
  </si>
  <si>
    <t>22:11</t>
  </si>
  <si>
    <t>2026-05-24 22:11:03</t>
  </si>
  <si>
    <t>2026-05-24 22:11:22</t>
  </si>
  <si>
    <t>2026-05-24 22:11:42</t>
  </si>
  <si>
    <t>22:12</t>
  </si>
  <si>
    <t>2026-05-24 22:12:02</t>
  </si>
  <si>
    <t>2026-05-24 22:12:22</t>
  </si>
  <si>
    <t>2026-05-24 22:12:41</t>
  </si>
  <si>
    <t>2026-05-24 22:13:00</t>
  </si>
  <si>
    <t>2026-05-24 22:13:20</t>
  </si>
  <si>
    <t>1718</t>
  </si>
  <si>
    <t>13.76m</t>
  </si>
  <si>
    <t>2327L</t>
  </si>
  <si>
    <t xml:space="preserve">0:21:55  </t>
  </si>
  <si>
    <t>21:21</t>
  </si>
  <si>
    <t>21:43</t>
  </si>
  <si>
    <t>21:23</t>
  </si>
  <si>
    <t>2026-05-24 21:23:47</t>
  </si>
  <si>
    <t>21:24</t>
  </si>
  <si>
    <t>2026-05-24 21:24:01</t>
  </si>
  <si>
    <t>3.07</t>
  </si>
  <si>
    <t>2026-05-24 21:24:16</t>
  </si>
  <si>
    <t>2026-05-24 21:24:30</t>
  </si>
  <si>
    <t>2026-05-24 21:24:45</t>
  </si>
  <si>
    <t>21:25</t>
  </si>
  <si>
    <t>2026-05-24 21:25:00</t>
  </si>
  <si>
    <t>2026-05-24 21:25:15</t>
  </si>
  <si>
    <t>2026-05-24 21:25:30</t>
  </si>
  <si>
    <t>2026-05-24 21:25:45</t>
  </si>
  <si>
    <t>21:26</t>
  </si>
  <si>
    <t>2026-05-24 21:26:01</t>
  </si>
  <si>
    <t>21:28</t>
  </si>
  <si>
    <t>2026-05-24 21:28:45</t>
  </si>
  <si>
    <t>21:31</t>
  </si>
  <si>
    <t>2026-05-24 21:31:18</t>
  </si>
  <si>
    <t>21:33</t>
  </si>
  <si>
    <t>2026-05-24 21:33:49</t>
  </si>
  <si>
    <t>21:35</t>
  </si>
  <si>
    <t>2026-05-24 21:35:23</t>
  </si>
  <si>
    <t>2026-05-24 21:35:27</t>
  </si>
  <si>
    <t>21:37</t>
  </si>
  <si>
    <t>2026-05-24 21:37:48</t>
  </si>
  <si>
    <t>21:38</t>
  </si>
  <si>
    <t>2026-05-24 21:38:54</t>
  </si>
  <si>
    <t>21:39</t>
  </si>
  <si>
    <t>2026-05-24 21:39:57</t>
  </si>
  <si>
    <t>21:40</t>
  </si>
  <si>
    <t>2026-05-24 21:40:24</t>
  </si>
  <si>
    <t>2026-05-24 21:40:51</t>
  </si>
  <si>
    <t>21:41</t>
  </si>
  <si>
    <t>2026-05-24 21:41:11</t>
  </si>
  <si>
    <t>2026-05-24 21:41:31</t>
  </si>
  <si>
    <t>2026-05-24 21:41:51</t>
  </si>
  <si>
    <t>21:42</t>
  </si>
  <si>
    <t>2026-05-24 21:42:11</t>
  </si>
  <si>
    <t>2026-05-24 21:42:31</t>
  </si>
  <si>
    <t>2026-05-24 21:42:51</t>
  </si>
  <si>
    <t>2026-05-24 21:43:10</t>
  </si>
  <si>
    <t>2026-05-24 21:43:30</t>
  </si>
  <si>
    <t>1818</t>
  </si>
  <si>
    <t>13.85m</t>
  </si>
  <si>
    <t>2267L</t>
  </si>
  <si>
    <t xml:space="preserve">0:21:25  </t>
  </si>
  <si>
    <t>20:53</t>
  </si>
  <si>
    <t>21:15</t>
  </si>
  <si>
    <t>20:54</t>
  </si>
  <si>
    <t>2026-05-24 20:54:28</t>
  </si>
  <si>
    <t>2026-05-24 20:54:41</t>
  </si>
  <si>
    <t>2026-05-24 20:54:53</t>
  </si>
  <si>
    <t>20:55</t>
  </si>
  <si>
    <t>2026-05-24 20:55:07</t>
  </si>
  <si>
    <t>2026-05-24 20:55:20</t>
  </si>
  <si>
    <t>2026-05-24 20:55:33</t>
  </si>
  <si>
    <t>2026-05-24 20:55:47</t>
  </si>
  <si>
    <t>20:56</t>
  </si>
  <si>
    <t>2026-05-24 20:56:00</t>
  </si>
  <si>
    <t>2026-05-24 20:56:14</t>
  </si>
  <si>
    <t>2026-05-24 20:56:28</t>
  </si>
  <si>
    <t>20:58</t>
  </si>
  <si>
    <t>2026-05-24 20:58:52</t>
  </si>
  <si>
    <t>21:01</t>
  </si>
  <si>
    <t>2026-05-24 21:01:28</t>
  </si>
  <si>
    <t>21:03</t>
  </si>
  <si>
    <t>2026-05-24 21:03:56</t>
  </si>
  <si>
    <t>21:05</t>
  </si>
  <si>
    <t>2026-05-24 21:05:45</t>
  </si>
  <si>
    <t>2026-05-24 21:05:58</t>
  </si>
  <si>
    <t>21:08</t>
  </si>
  <si>
    <t>2026-05-24 21:08:13</t>
  </si>
  <si>
    <t>21:09</t>
  </si>
  <si>
    <t>2026-05-24 21:09:15</t>
  </si>
  <si>
    <t>21:10</t>
  </si>
  <si>
    <t>2026-05-24 21:10:16</t>
  </si>
  <si>
    <t>2026-05-24 21:10:54</t>
  </si>
  <si>
    <t>21:11</t>
  </si>
  <si>
    <t>2026-05-24 21:11:31</t>
  </si>
  <si>
    <t>21:12</t>
  </si>
  <si>
    <t>2026-05-24 21:12:07</t>
  </si>
  <si>
    <t>2026-05-24 21:12:44</t>
  </si>
  <si>
    <t>21:13</t>
  </si>
  <si>
    <t>2026-05-24 21:13:08</t>
  </si>
  <si>
    <t>2026-05-24 21:13:28</t>
  </si>
  <si>
    <t>2026-05-24 21:13:48</t>
  </si>
  <si>
    <t>21:14</t>
  </si>
  <si>
    <t>2026-05-24 21:14:08</t>
  </si>
  <si>
    <t>2026-05-24 21:14:28</t>
  </si>
  <si>
    <t>2026-05-24 21:14:48</t>
  </si>
  <si>
    <t>1918</t>
  </si>
  <si>
    <t>13.83m</t>
  </si>
  <si>
    <t>2332L</t>
  </si>
  <si>
    <t xml:space="preserve">0:21:14  </t>
  </si>
  <si>
    <t>20:24</t>
  </si>
  <si>
    <t>20:45</t>
  </si>
  <si>
    <t>20:25</t>
  </si>
  <si>
    <t>2026-05-24 20:25:09</t>
  </si>
  <si>
    <t>2026-05-24 20:25:22</t>
  </si>
  <si>
    <t>2026-05-24 20:25:36</t>
  </si>
  <si>
    <t>4.07</t>
  </si>
  <si>
    <t>2026-05-24 20:25:50</t>
  </si>
  <si>
    <t>20:26</t>
  </si>
  <si>
    <t>2026-05-24 20:26:04</t>
  </si>
  <si>
    <t>2026-05-24 20:26:19</t>
  </si>
  <si>
    <t>2026-05-24 20:26:33</t>
  </si>
  <si>
    <t>2026-05-24 20:26:48</t>
  </si>
  <si>
    <t>20:27</t>
  </si>
  <si>
    <t>2026-05-24 20:27:02</t>
  </si>
  <si>
    <t>2026-05-24 20:27:17</t>
  </si>
  <si>
    <t>20:29</t>
  </si>
  <si>
    <t>2026-05-24 20:29:45</t>
  </si>
  <si>
    <t>20:32</t>
  </si>
  <si>
    <t>2026-05-24 20:32:26</t>
  </si>
  <si>
    <t>20:35</t>
  </si>
  <si>
    <t>2026-05-24 20:35:07</t>
  </si>
  <si>
    <t>20:36</t>
  </si>
  <si>
    <t>2026-05-24 20:36:51</t>
  </si>
  <si>
    <t>20:37</t>
  </si>
  <si>
    <t>2318</t>
  </si>
  <si>
    <t>2026-05-24 20:37:00</t>
  </si>
  <si>
    <t>20:39</t>
  </si>
  <si>
    <t>2026-05-24 20:39:38</t>
  </si>
  <si>
    <t>20:40</t>
  </si>
  <si>
    <t>2026-05-24 20:40:48</t>
  </si>
  <si>
    <t>20:41</t>
  </si>
  <si>
    <t>2026-05-24 20:41:57</t>
  </si>
  <si>
    <t>20:42</t>
  </si>
  <si>
    <t>2026-05-24 20:42:21</t>
  </si>
  <si>
    <t>2026-05-24 20:42:44</t>
  </si>
  <si>
    <t>20:43</t>
  </si>
  <si>
    <t>2026-05-24 20:43:06</t>
  </si>
  <si>
    <t>2026-05-24 20:43:27</t>
  </si>
  <si>
    <t>2026-05-24 20:43:45</t>
  </si>
  <si>
    <t>20:44</t>
  </si>
  <si>
    <t>2026-05-24 20:44:02</t>
  </si>
  <si>
    <t>2026-05-24 20:44:19</t>
  </si>
  <si>
    <t>2026-05-24 20:44:36</t>
  </si>
  <si>
    <t>2026-05-24 20:44:53</t>
  </si>
  <si>
    <t>2026-05-24 20:45:09</t>
  </si>
  <si>
    <t>2018</t>
  </si>
  <si>
    <t>13.84m</t>
  </si>
  <si>
    <t>2677L</t>
  </si>
  <si>
    <t xml:space="preserve">0:24:0  </t>
  </si>
  <si>
    <t>19:53</t>
  </si>
  <si>
    <t>20:17</t>
  </si>
  <si>
    <t>19:54</t>
  </si>
  <si>
    <t>2026-05-24 19:54:53</t>
  </si>
  <si>
    <t>19:55</t>
  </si>
  <si>
    <t>2026-05-24 19:55:13</t>
  </si>
  <si>
    <t>2026-05-24 19:55:33</t>
  </si>
  <si>
    <t>2026-05-24 19:55:53</t>
  </si>
  <si>
    <t>19:56</t>
  </si>
  <si>
    <t>2026-05-24 19:56:13</t>
  </si>
  <si>
    <t>2026-05-24 19:56:34</t>
  </si>
  <si>
    <t>7.08</t>
  </si>
  <si>
    <t>2026-05-24 19:56:54</t>
  </si>
  <si>
    <t>19:57</t>
  </si>
  <si>
    <t>2026-05-24 19:57:14</t>
  </si>
  <si>
    <t>2026-05-24 19:57:35</t>
  </si>
  <si>
    <t>2026-05-24 19:57:56</t>
  </si>
  <si>
    <t>20:00</t>
  </si>
  <si>
    <t>2026-05-24 20:00:34</t>
  </si>
  <si>
    <t>20:03</t>
  </si>
  <si>
    <t>2026-05-24 20:03:25</t>
  </si>
  <si>
    <t>20:05</t>
  </si>
  <si>
    <t>2026-05-24 20:05:55</t>
  </si>
  <si>
    <t>20:07</t>
  </si>
  <si>
    <t>2026-05-24 20:07:59</t>
  </si>
  <si>
    <t>20:08</t>
  </si>
  <si>
    <t>2026-05-24 20:08:50</t>
  </si>
  <si>
    <t>20:10</t>
  </si>
  <si>
    <t>2026-05-24 20:10:51</t>
  </si>
  <si>
    <t>20:11</t>
  </si>
  <si>
    <t>2026-05-24 20:11:55</t>
  </si>
  <si>
    <t>20:13</t>
  </si>
  <si>
    <t>2026-05-24 20:13:00</t>
  </si>
  <si>
    <t>2026-05-24 20:13:31</t>
  </si>
  <si>
    <t>2026-05-24 20:13:53</t>
  </si>
  <si>
    <t>20:14</t>
  </si>
  <si>
    <t>2026-05-24 20:14:15</t>
  </si>
  <si>
    <t>2026-05-24 20:14:37</t>
  </si>
  <si>
    <t>2026-05-24 20:14:59</t>
  </si>
  <si>
    <t>20:15</t>
  </si>
  <si>
    <t>2026-05-24 20:15:21</t>
  </si>
  <si>
    <t>2026-05-24 20:15:44</t>
  </si>
  <si>
    <t>20:16</t>
  </si>
  <si>
    <t>2026-05-24 20:16:07</t>
  </si>
  <si>
    <t>2026-05-24 20:16:29</t>
  </si>
  <si>
    <t>2026-05-24 20:16:53</t>
  </si>
  <si>
    <t>13.53m</t>
  </si>
  <si>
    <t>2429L</t>
  </si>
  <si>
    <t xml:space="preserve">0:28:17  </t>
  </si>
  <si>
    <t>22:19</t>
  </si>
  <si>
    <t>22:47</t>
  </si>
  <si>
    <t>22:20</t>
  </si>
  <si>
    <t>2026-05-24 22:20:49</t>
  </si>
  <si>
    <t>-0.3</t>
  </si>
  <si>
    <t>22:21</t>
  </si>
  <si>
    <t>2026-05-24 22:21:12</t>
  </si>
  <si>
    <t>-0.4</t>
  </si>
  <si>
    <t>2026-05-24 22:21:34</t>
  </si>
  <si>
    <t>2026-05-24 22:21:56</t>
  </si>
  <si>
    <t>2026-05-24 22:22:17</t>
  </si>
  <si>
    <t>2026-05-24 22:22:41</t>
  </si>
  <si>
    <t>2026-05-24 22:23:02</t>
  </si>
  <si>
    <t>2026-05-24 22:23:40</t>
  </si>
  <si>
    <t>2026-05-24 22:25:55</t>
  </si>
  <si>
    <t>2026-05-24 22:28:40</t>
  </si>
  <si>
    <t>2026-05-24 22:31:24</t>
  </si>
  <si>
    <t>2026-05-24 22:34:08</t>
  </si>
  <si>
    <t>22:36</t>
  </si>
  <si>
    <t>2026-05-24 22:36:52</t>
  </si>
  <si>
    <t>2026-05-24 22:40:49</t>
  </si>
  <si>
    <t>2026-05-24 22:41:55</t>
  </si>
  <si>
    <t>2026-05-24 22:42:39</t>
  </si>
  <si>
    <t>2026-05-24 22:43:15</t>
  </si>
  <si>
    <t>2026-05-24 22:44:04</t>
  </si>
  <si>
    <t>2026-05-24 22:44:25</t>
  </si>
  <si>
    <t>2026-05-24 22:44:45</t>
  </si>
  <si>
    <t>22:45</t>
  </si>
  <si>
    <t>2026-05-24 22:45:06</t>
  </si>
  <si>
    <t>2026-05-24 22:45:26</t>
  </si>
  <si>
    <t>2026-05-24 22:45:47</t>
  </si>
  <si>
    <t>22:46</t>
  </si>
  <si>
    <t>2026-05-24 22:46:06</t>
  </si>
  <si>
    <t>2026-05-24 22:46:33</t>
  </si>
  <si>
    <t>2026-05-24 22:47:08</t>
  </si>
  <si>
    <t>13.65m</t>
  </si>
  <si>
    <t>2413L</t>
  </si>
  <si>
    <t xml:space="preserve">0:27:38  </t>
  </si>
  <si>
    <t>21:44</t>
  </si>
  <si>
    <t>21:48</t>
  </si>
  <si>
    <t>2026-05-24 21:48:36</t>
  </si>
  <si>
    <t>2.04</t>
  </si>
  <si>
    <t>2026-05-24 21:48:54</t>
  </si>
  <si>
    <t>21:49</t>
  </si>
  <si>
    <t>2026-05-24 21:49:13</t>
  </si>
  <si>
    <t>2026-05-24 21:49:31</t>
  </si>
  <si>
    <t>2026-05-24 21:49:50</t>
  </si>
  <si>
    <t>21:50</t>
  </si>
  <si>
    <t>2026-05-24 21:50:08</t>
  </si>
  <si>
    <t>2026-05-24 21:50:28</t>
  </si>
  <si>
    <t>2026-05-24 21:50:47</t>
  </si>
  <si>
    <t>21:51</t>
  </si>
  <si>
    <t>2026-05-24 21:51:07</t>
  </si>
  <si>
    <t>2026-05-24 21:53:05</t>
  </si>
  <si>
    <t>2026-05-24 21:56:01</t>
  </si>
  <si>
    <t>2026-05-24 21:58:38</t>
  </si>
  <si>
    <t>2026-05-24 22:01:15</t>
  </si>
  <si>
    <t>22:02</t>
  </si>
  <si>
    <t>2026-05-24 22:02:40</t>
  </si>
  <si>
    <t>2026-05-24 22:02:47</t>
  </si>
  <si>
    <t>2026-05-24 22:05:23</t>
  </si>
  <si>
    <t>22:06</t>
  </si>
  <si>
    <t>2026-05-24 22:06:24</t>
  </si>
  <si>
    <t>2026-05-24 22:07:27</t>
  </si>
  <si>
    <t>2026-05-24 22:08:15</t>
  </si>
  <si>
    <t>2026-05-24 22:08:40</t>
  </si>
  <si>
    <t>2026-05-24 22:09:03</t>
  </si>
  <si>
    <t>2026-05-24 22:09:25</t>
  </si>
  <si>
    <t>2026-05-24 22:09:44</t>
  </si>
  <si>
    <t>2026-05-24 22:10:03</t>
  </si>
  <si>
    <t>2026-05-24 22:10:42</t>
  </si>
  <si>
    <t>2026-05-24 22:11:00</t>
  </si>
  <si>
    <t>2026-05-24 22:11:37</t>
  </si>
  <si>
    <t>2418</t>
  </si>
  <si>
    <t>2377L</t>
  </si>
  <si>
    <t xml:space="preserve">0:28:41  </t>
  </si>
  <si>
    <t>2026-05-24 21:12:52</t>
  </si>
  <si>
    <t>2026-05-24 21:13:12</t>
  </si>
  <si>
    <t>2026-05-24 21:13:32</t>
  </si>
  <si>
    <t>2026-05-24 21:13:52</t>
  </si>
  <si>
    <t>2026-05-24 21:14:13</t>
  </si>
  <si>
    <t>2026-05-24 21:14:34</t>
  </si>
  <si>
    <t>2026-05-24 21:14:55</t>
  </si>
  <si>
    <t>2026-05-24 21:15:18</t>
  </si>
  <si>
    <t>21:16</t>
  </si>
  <si>
    <t>2026-05-24 21:16:58</t>
  </si>
  <si>
    <t>21:19</t>
  </si>
  <si>
    <t>2026-05-24 21:19:30</t>
  </si>
  <si>
    <t>21:22</t>
  </si>
  <si>
    <t>2026-05-24 21:22:20</t>
  </si>
  <si>
    <t>2026-05-24 21:24:56</t>
  </si>
  <si>
    <t>21:27</t>
  </si>
  <si>
    <t>2026-05-24 21:27:30</t>
  </si>
  <si>
    <t>21:29</t>
  </si>
  <si>
    <t>2026-05-24 21:29:06</t>
  </si>
  <si>
    <t>2026-05-24 21:29:13</t>
  </si>
  <si>
    <t>2026-05-24 21:31:21</t>
  </si>
  <si>
    <t>21:32</t>
  </si>
  <si>
    <t>2026-05-24 21:32:24</t>
  </si>
  <si>
    <t>2026-05-24 21:33:29</t>
  </si>
  <si>
    <t>21:34</t>
  </si>
  <si>
    <t>2026-05-24 21:34:12</t>
  </si>
  <si>
    <t>2026-05-24 21:34:41</t>
  </si>
  <si>
    <t>2026-05-24 21:35:00</t>
  </si>
  <si>
    <t>2026-05-24 21:35:20</t>
  </si>
  <si>
    <t>2026-05-24 21:35:42</t>
  </si>
  <si>
    <t>21:36</t>
  </si>
  <si>
    <t>2026-05-24 21:36:03</t>
  </si>
  <si>
    <t>2026-05-24 21:36:26</t>
  </si>
  <si>
    <t>2026-05-24 21:36:47</t>
  </si>
  <si>
    <t>2026-05-24 21:37:09</t>
  </si>
  <si>
    <t>2026-05-24 21:37:50</t>
  </si>
  <si>
    <t>2518</t>
  </si>
  <si>
    <t>2501L</t>
  </si>
  <si>
    <t xml:space="preserve">0:28:1  </t>
  </si>
  <si>
    <t>20:34</t>
  </si>
  <si>
    <t>21:02</t>
  </si>
  <si>
    <t>2026-05-24 20:35:43</t>
  </si>
  <si>
    <t>2026-05-24 20:36:08</t>
  </si>
  <si>
    <t>2026-05-24 20:36:33</t>
  </si>
  <si>
    <t>2026-05-24 20:36:58</t>
  </si>
  <si>
    <t>2026-05-24 20:37:24</t>
  </si>
  <si>
    <t>2026-05-24 20:37:49</t>
  </si>
  <si>
    <t>20:38</t>
  </si>
  <si>
    <t>2026-05-24 20:38:15</t>
  </si>
  <si>
    <t>2026-05-24 20:38:42</t>
  </si>
  <si>
    <t>2026-05-24 20:40:28</t>
  </si>
  <si>
    <t>2026-05-24 20:43:10</t>
  </si>
  <si>
    <t>2026-05-24 20:45:54</t>
  </si>
  <si>
    <t>20:48</t>
  </si>
  <si>
    <t>2026-05-24 20:48:40</t>
  </si>
  <si>
    <t>20:51</t>
  </si>
  <si>
    <t>2026-05-24 20:51:28</t>
  </si>
  <si>
    <t>2026-05-24 20:53:12</t>
  </si>
  <si>
    <t>2026-05-24 20:53:22</t>
  </si>
  <si>
    <t>-0.5</t>
  </si>
  <si>
    <t>2026-05-24 20:55:31</t>
  </si>
  <si>
    <t>2026-05-24 20:56:37</t>
  </si>
  <si>
    <t>20:57</t>
  </si>
  <si>
    <t>2026-05-24 20:57:44</t>
  </si>
  <si>
    <t>2026-05-24 20:58:41</t>
  </si>
  <si>
    <t>20:59</t>
  </si>
  <si>
    <t>2026-05-24 20:59:07</t>
  </si>
  <si>
    <t>2026-05-24 20:59:32</t>
  </si>
  <si>
    <t>2026-05-24 20:59:57</t>
  </si>
  <si>
    <t>21:00</t>
  </si>
  <si>
    <t>2026-05-24 21:00:20</t>
  </si>
  <si>
    <t>2026-05-24 21:00:39</t>
  </si>
  <si>
    <t>2026-05-24 21:00:58</t>
  </si>
  <si>
    <t>2026-05-24 21:01:16</t>
  </si>
  <si>
    <t>2026-05-24 21:01:35</t>
  </si>
  <si>
    <t>2026-05-24 21:02:01</t>
  </si>
  <si>
    <t>2618</t>
  </si>
  <si>
    <t>13.74m</t>
  </si>
  <si>
    <t>13.75m</t>
  </si>
  <si>
    <t>2376L</t>
  </si>
  <si>
    <t xml:space="preserve">0:27:59  </t>
  </si>
  <si>
    <t>19:58</t>
  </si>
  <si>
    <t>2026-05-24 19:58:12</t>
  </si>
  <si>
    <t>2026-05-24 19:58:38</t>
  </si>
  <si>
    <t>19:59</t>
  </si>
  <si>
    <t>2026-05-24 19:59:04</t>
  </si>
  <si>
    <t>2026-05-24 19:59:30</t>
  </si>
  <si>
    <t>2026-05-24 19:59:56</t>
  </si>
  <si>
    <t>2026-05-24 20:00:22</t>
  </si>
  <si>
    <t>2026-05-24 20:00:48</t>
  </si>
  <si>
    <t>20:01</t>
  </si>
  <si>
    <t>2026-05-24 20:01:25</t>
  </si>
  <si>
    <t>2026-05-24 20:03:49</t>
  </si>
  <si>
    <t>20:06</t>
  </si>
  <si>
    <t>2026-05-24 20:06:26</t>
  </si>
  <si>
    <t>2026-05-24 20:08:57</t>
  </si>
  <si>
    <t>2026-05-24 20:11:22</t>
  </si>
  <si>
    <t>2026-05-24 20:13:45</t>
  </si>
  <si>
    <t>2026-05-24 20:15:26</t>
  </si>
  <si>
    <t>2026-05-24 20:17:17</t>
  </si>
  <si>
    <t>20:18</t>
  </si>
  <si>
    <t>2026-05-24 20:18:01</t>
  </si>
  <si>
    <t>20:19</t>
  </si>
  <si>
    <t>2026-05-24 20:19:02</t>
  </si>
  <si>
    <t>20:20</t>
  </si>
  <si>
    <t>2026-05-24 20:20:03</t>
  </si>
  <si>
    <t>2026-05-24 20:20:53</t>
  </si>
  <si>
    <t>20:21</t>
  </si>
  <si>
    <t>2026-05-24 20:21:17</t>
  </si>
  <si>
    <t>2026-05-24 20:21:39</t>
  </si>
  <si>
    <t>20:22</t>
  </si>
  <si>
    <t>2026-05-24 20:22:00</t>
  </si>
  <si>
    <t>2026-05-24 20:22:21</t>
  </si>
  <si>
    <t>2026-05-24 20:22:40</t>
  </si>
  <si>
    <t>2026-05-24 20:22:58</t>
  </si>
  <si>
    <t>20:23</t>
  </si>
  <si>
    <t>2026-05-24 20:23:17</t>
  </si>
  <si>
    <t>2026-05-24 20:23:39</t>
  </si>
  <si>
    <t>2026-05-24 20:24:02</t>
  </si>
  <si>
    <t>21834</t>
  </si>
  <si>
    <t>2404L</t>
  </si>
  <si>
    <t xml:space="preserve">0:22:10  </t>
  </si>
  <si>
    <t>23:18</t>
  </si>
  <si>
    <t>2026-05-24 22:56:57</t>
  </si>
  <si>
    <t>-0.6</t>
  </si>
  <si>
    <t>22:57</t>
  </si>
  <si>
    <t>2026-05-24 22:57:20</t>
  </si>
  <si>
    <t>2026-05-24 22:57:44</t>
  </si>
  <si>
    <t>2026-05-24 22:58:02</t>
  </si>
  <si>
    <t>5.07</t>
  </si>
  <si>
    <t>2026-05-24 22:58:20</t>
  </si>
  <si>
    <t>6.08</t>
  </si>
  <si>
    <t>2026-05-24 22:58:38</t>
  </si>
  <si>
    <t>2026-05-24 22:58:57</t>
  </si>
  <si>
    <t>22:59</t>
  </si>
  <si>
    <t>2026-05-24 22:59:16</t>
  </si>
  <si>
    <t>2026-05-24 22:59:43</t>
  </si>
  <si>
    <t>23:00</t>
  </si>
  <si>
    <t>2026-05-24 23:00:52</t>
  </si>
  <si>
    <t>2026-05-24 23:03:41</t>
  </si>
  <si>
    <t>2026-05-24 23:06:14</t>
  </si>
  <si>
    <t>2026-05-24 23:08:46</t>
  </si>
  <si>
    <t>2026-05-24 23:10:08</t>
  </si>
  <si>
    <t>2026-05-24 23:10:52</t>
  </si>
  <si>
    <t>2026-05-24 23:12:32</t>
  </si>
  <si>
    <t>2026-05-24 23:13:38</t>
  </si>
  <si>
    <t>2026-05-24 23:14:44</t>
  </si>
  <si>
    <t>2026-05-24 23:15:17</t>
  </si>
  <si>
    <t>2026-05-24 23:15:39</t>
  </si>
  <si>
    <t>2026-05-24 23:15:59</t>
  </si>
  <si>
    <t>2026-05-24 23:16:18</t>
  </si>
  <si>
    <t>2026-05-24 23:16:37</t>
  </si>
  <si>
    <t>2026-05-24 23:16:56</t>
  </si>
  <si>
    <t>2026-05-24 23:17:16</t>
  </si>
  <si>
    <t>2026-05-24 23:17:35</t>
  </si>
  <si>
    <t>2026-05-24 23:17:53</t>
  </si>
  <si>
    <t>2026-05-24 23:18:13</t>
  </si>
  <si>
    <t>31834</t>
  </si>
  <si>
    <t>13.62m</t>
  </si>
  <si>
    <t>13.63m</t>
  </si>
  <si>
    <t>2343L</t>
  </si>
  <si>
    <t xml:space="preserve">0:22:30  </t>
  </si>
  <si>
    <t>2026-05-24 22:22:46</t>
  </si>
  <si>
    <t>2026-05-24 22:23:08</t>
  </si>
  <si>
    <t>2026-05-24 22:23:31</t>
  </si>
  <si>
    <t>2026-05-24 22:23:54</t>
  </si>
  <si>
    <t>2026-05-24 22:24:18</t>
  </si>
  <si>
    <t>2026-05-24 22:24:41</t>
  </si>
  <si>
    <t>2026-05-24 22:25:04</t>
  </si>
  <si>
    <t>2026-05-24 22:25:28</t>
  </si>
  <si>
    <t>2026-05-24 22:25:53</t>
  </si>
  <si>
    <t>22:26</t>
  </si>
  <si>
    <t>2026-05-24 22:26:58</t>
  </si>
  <si>
    <t>22:29</t>
  </si>
  <si>
    <t>2026-05-24 22:29:42</t>
  </si>
  <si>
    <t>22:32</t>
  </si>
  <si>
    <t>2026-05-24 22:32:07</t>
  </si>
  <si>
    <t>2026-05-24 22:34:31</t>
  </si>
  <si>
    <t>2026-05-24 22:35:52</t>
  </si>
  <si>
    <t>2026-05-24 22:36:02</t>
  </si>
  <si>
    <t>2026-05-24 22:38:06</t>
  </si>
  <si>
    <t>2026-05-24 22:39:10</t>
  </si>
  <si>
    <t>2026-05-24 22:40:14</t>
  </si>
  <si>
    <t>2026-05-24 22:41:01</t>
  </si>
  <si>
    <t>2026-05-24 22:41:23</t>
  </si>
  <si>
    <t>2026-05-24 22:41:47</t>
  </si>
  <si>
    <t>2026-05-24 22:42:09</t>
  </si>
  <si>
    <t>2026-05-24 22:42:31</t>
  </si>
  <si>
    <t>2026-05-24 22:42:53</t>
  </si>
  <si>
    <t>2026-05-24 22:43:16</t>
  </si>
  <si>
    <t>2026-05-24 22:43:38</t>
  </si>
  <si>
    <t>2026-05-24 22:44:01</t>
  </si>
  <si>
    <t>2026-05-24 22:44:23</t>
  </si>
  <si>
    <t>41834</t>
  </si>
  <si>
    <t>13.71m</t>
  </si>
  <si>
    <t>13.72m</t>
  </si>
  <si>
    <t>2312L</t>
  </si>
  <si>
    <t xml:space="preserve">0:22:37  </t>
  </si>
  <si>
    <t>2026-05-24 21:51:27</t>
  </si>
  <si>
    <t>2026-05-24 21:51:49</t>
  </si>
  <si>
    <t>2026-05-24 21:52:11</t>
  </si>
  <si>
    <t>2026-05-24 21:52:32</t>
  </si>
  <si>
    <t>2026-05-24 21:52:54</t>
  </si>
  <si>
    <t>2026-05-24 21:53:16</t>
  </si>
  <si>
    <t>2026-05-24 21:53:39</t>
  </si>
  <si>
    <t>2026-05-24 21:54:02</t>
  </si>
  <si>
    <t>2026-05-24 21:55:14</t>
  </si>
  <si>
    <t>2026-05-24 21:58:09</t>
  </si>
  <si>
    <t>22:00</t>
  </si>
  <si>
    <t>2026-05-24 22:00:36</t>
  </si>
  <si>
    <t>2026-05-24 22:03:01</t>
  </si>
  <si>
    <t>22:04</t>
  </si>
  <si>
    <t>2026-05-24 22:04:33</t>
  </si>
  <si>
    <t>2026-05-24 22:04:43</t>
  </si>
  <si>
    <t>2026-05-24 22:06:59</t>
  </si>
  <si>
    <t>2026-05-24 22:07:59</t>
  </si>
  <si>
    <t>2026-05-24 22:08:59</t>
  </si>
  <si>
    <t>2026-05-24 22:09:49</t>
  </si>
  <si>
    <t>2026-05-24 22:10:08</t>
  </si>
  <si>
    <t>2026-05-24 22:10:29</t>
  </si>
  <si>
    <t>2026-05-24 22:10:50</t>
  </si>
  <si>
    <t>2026-05-24 22:11:10</t>
  </si>
  <si>
    <t>2026-05-24 22:11:31</t>
  </si>
  <si>
    <t>2026-05-24 22:11:51</t>
  </si>
  <si>
    <t>2026-05-24 22:12:11</t>
  </si>
  <si>
    <t>2026-05-24 22:12:32</t>
  </si>
  <si>
    <t>2026-05-24 22:12:52</t>
  </si>
  <si>
    <t>51834</t>
  </si>
  <si>
    <t>2450L</t>
  </si>
  <si>
    <t xml:space="preserve">0:26:56  </t>
  </si>
  <si>
    <t>2026-05-24 21:15:16</t>
  </si>
  <si>
    <t>2026-05-24 21:15:43</t>
  </si>
  <si>
    <t>2026-05-24 21:16:05</t>
  </si>
  <si>
    <t>2026-05-24 21:16:29</t>
  </si>
  <si>
    <t>2026-05-24 21:16:52</t>
  </si>
  <si>
    <t>21:17</t>
  </si>
  <si>
    <t>2026-05-24 21:17:15</t>
  </si>
  <si>
    <t>2026-05-24 21:17:38</t>
  </si>
  <si>
    <t>21:18</t>
  </si>
  <si>
    <t>9.08</t>
  </si>
  <si>
    <t>2026-05-24 21:18:03</t>
  </si>
  <si>
    <t>10.08</t>
  </si>
  <si>
    <t>2026-05-24 21:18:57</t>
  </si>
  <si>
    <t>11.08</t>
  </si>
  <si>
    <t>2026-05-24 21:21:55</t>
  </si>
  <si>
    <t>12.08</t>
  </si>
  <si>
    <t>2026-05-24 21:24:31</t>
  </si>
  <si>
    <t>13.08</t>
  </si>
  <si>
    <t>2026-05-24 21:27:05</t>
  </si>
  <si>
    <t>2026-05-24 21:28:54</t>
  </si>
  <si>
    <t>2026-05-24 21:32:23</t>
  </si>
  <si>
    <t>2026-05-24 21:32:33</t>
  </si>
  <si>
    <t>2026-05-24 21:33:43</t>
  </si>
  <si>
    <t>2026-05-24 21:34:45</t>
  </si>
  <si>
    <t>2026-05-24 21:35:48</t>
  </si>
  <si>
    <t>2026-05-24 21:36:24</t>
  </si>
  <si>
    <t>2026-05-24 21:36:48</t>
  </si>
  <si>
    <t>2026-05-24 21:37:13</t>
  </si>
  <si>
    <t>2026-05-24 21:37:38</t>
  </si>
  <si>
    <t>2026-05-24 21:38:03</t>
  </si>
  <si>
    <t>2026-05-24 21:38:27</t>
  </si>
  <si>
    <t>2026-05-24 21:38:52</t>
  </si>
  <si>
    <t>2026-05-24 21:39:16</t>
  </si>
  <si>
    <t>2026-05-24 21:39:42</t>
  </si>
  <si>
    <t>2026-05-24 21:40:07</t>
  </si>
  <si>
    <t>61834</t>
  </si>
  <si>
    <t>13.90m</t>
  </si>
  <si>
    <t>13.91m</t>
  </si>
  <si>
    <t>2497L</t>
  </si>
  <si>
    <t xml:space="preserve">0:25:9  </t>
  </si>
  <si>
    <t>2026-05-24 20:36:53</t>
  </si>
  <si>
    <t>2026-05-24 20:37:11</t>
  </si>
  <si>
    <t>2026-05-24 20:37:30</t>
  </si>
  <si>
    <t>2026-05-24 20:38:08</t>
  </si>
  <si>
    <t>2026-05-24 20:38:28</t>
  </si>
  <si>
    <t>2026-05-24 20:38:47</t>
  </si>
  <si>
    <t>2026-05-24 20:39:07</t>
  </si>
  <si>
    <t>2026-05-24 20:39:27</t>
  </si>
  <si>
    <t>2026-05-24 20:41:35</t>
  </si>
  <si>
    <t>2026-05-24 20:44:35</t>
  </si>
  <si>
    <t>20:47</t>
  </si>
  <si>
    <t>2026-05-24 20:47:05</t>
  </si>
  <si>
    <t>20:49</t>
  </si>
  <si>
    <t>2026-05-24 20:49:35</t>
  </si>
  <si>
    <t>2026-05-24 20:51:34</t>
  </si>
  <si>
    <t>20:52</t>
  </si>
  <si>
    <t>13.91</t>
  </si>
  <si>
    <t>2026-05-24 20:52:11</t>
  </si>
  <si>
    <t>2026-05-24 20:55:56</t>
  </si>
  <si>
    <t>2026-05-24 20:56:58</t>
  </si>
  <si>
    <t>2026-05-24 20:57:39</t>
  </si>
  <si>
    <t>2026-05-24 20:58:01</t>
  </si>
  <si>
    <t>2026-05-24 20:58:23</t>
  </si>
  <si>
    <t>2026-05-24 20:58:45</t>
  </si>
  <si>
    <t>2026-05-24 20:59:06</t>
  </si>
  <si>
    <t>2026-05-24 20:59:27</t>
  </si>
  <si>
    <t>3.84</t>
  </si>
  <si>
    <t>2026-05-24 20:59:48</t>
  </si>
  <si>
    <t>2026-05-24 21:00:10</t>
  </si>
  <si>
    <t>2026-05-24 21:00:31</t>
  </si>
  <si>
    <t>2026-05-24 21:00:52</t>
  </si>
  <si>
    <t>71834</t>
  </si>
  <si>
    <t>13.92m</t>
  </si>
  <si>
    <t>2419L</t>
  </si>
  <si>
    <t xml:space="preserve">0:21:59  </t>
  </si>
  <si>
    <t>2026-05-24 20:00:50</t>
  </si>
  <si>
    <t>1.03</t>
  </si>
  <si>
    <t>2026-05-24 20:01:06</t>
  </si>
  <si>
    <t>2026-05-24 20:01:23</t>
  </si>
  <si>
    <t>2026-05-24 20:01:39</t>
  </si>
  <si>
    <t>2026-05-24 20:01:56</t>
  </si>
  <si>
    <t>20:02</t>
  </si>
  <si>
    <t>2026-05-24 20:02:13</t>
  </si>
  <si>
    <t>2026-05-24 20:02:30</t>
  </si>
  <si>
    <t>8.08</t>
  </si>
  <si>
    <t>2026-05-24 20:02:47</t>
  </si>
  <si>
    <t>2026-05-24 20:03:05</t>
  </si>
  <si>
    <t>2026-05-24 20:03:38</t>
  </si>
  <si>
    <t>2026-05-24 20:06:55</t>
  </si>
  <si>
    <t>20:09</t>
  </si>
  <si>
    <t>2026-05-24 20:09:22</t>
  </si>
  <si>
    <t>2026-05-24 20:11:44</t>
  </si>
  <si>
    <t>2026-05-24 20:13:48</t>
  </si>
  <si>
    <t>13.92</t>
  </si>
  <si>
    <t>2026-05-24 20:13:57</t>
  </si>
  <si>
    <t>2026-05-24 20:14:12</t>
  </si>
  <si>
    <t>12.91</t>
  </si>
  <si>
    <t>2026-05-24 20:16:11</t>
  </si>
  <si>
    <t>11.91</t>
  </si>
  <si>
    <t>2026-05-24 20:17:12</t>
  </si>
  <si>
    <t>10.91</t>
  </si>
  <si>
    <t>2026-05-24 20:18:14</t>
  </si>
  <si>
    <t>9.90</t>
  </si>
  <si>
    <t>2026-05-24 20:18:58</t>
  </si>
  <si>
    <t>8.90</t>
  </si>
  <si>
    <t>2026-05-24 20:19:18</t>
  </si>
  <si>
    <t>7.90</t>
  </si>
  <si>
    <t>2026-05-24 20:19:39</t>
  </si>
  <si>
    <t>6.88</t>
  </si>
  <si>
    <t>2026-05-24 20:20:00</t>
  </si>
  <si>
    <t>5.85</t>
  </si>
  <si>
    <t>2026-05-24 20:20:20</t>
  </si>
  <si>
    <t>4.84</t>
  </si>
  <si>
    <t>2026-05-24 20:20:41</t>
  </si>
  <si>
    <t>2026-05-24 20:21:00</t>
  </si>
  <si>
    <t>2.84</t>
  </si>
  <si>
    <t>2026-05-24 20:21:20</t>
  </si>
  <si>
    <t>1.83</t>
  </si>
  <si>
    <t>2026-05-24 20:21:40</t>
  </si>
  <si>
    <t>0.81</t>
  </si>
  <si>
    <t>81834</t>
  </si>
  <si>
    <t>13.54m</t>
  </si>
  <si>
    <t>2316L</t>
  </si>
  <si>
    <t xml:space="preserve">0:21:47  </t>
  </si>
  <si>
    <t>2026-05-24 22:57:35</t>
  </si>
  <si>
    <t>2026-05-24 22:58:01</t>
  </si>
  <si>
    <t>2026-05-24 22:58:28</t>
  </si>
  <si>
    <t>2026-05-24 22:58:55</t>
  </si>
  <si>
    <t>2026-05-24 22:59:22</t>
  </si>
  <si>
    <t>2026-05-24 22:59:49</t>
  </si>
  <si>
    <t>2026-05-24 23:00:16</t>
  </si>
  <si>
    <t>2026-05-24 23:00:43</t>
  </si>
  <si>
    <t>2026-05-24 23:01:11</t>
  </si>
  <si>
    <t>2026-05-24 23:01:49</t>
  </si>
  <si>
    <t>23:04</t>
  </si>
  <si>
    <t>2026-05-24 23:04:11</t>
  </si>
  <si>
    <t>2026-05-24 23:06:48</t>
  </si>
  <si>
    <t>23:09</t>
  </si>
  <si>
    <t>2026-05-24 23:09:21</t>
  </si>
  <si>
    <t>2026-05-24 23:10:31</t>
  </si>
  <si>
    <t>2026-05-24 23:12:31</t>
  </si>
  <si>
    <t>2026-05-24 23:13:26</t>
  </si>
  <si>
    <t>2026-05-24 23:14:23</t>
  </si>
  <si>
    <t>2026-05-24 23:14:53</t>
  </si>
  <si>
    <t>2026-05-24 23:15:16</t>
  </si>
  <si>
    <t>2026-05-24 23:16:02</t>
  </si>
  <si>
    <t>2026-05-24 23:16:25</t>
  </si>
  <si>
    <t>2026-05-24 23:16:48</t>
  </si>
  <si>
    <t>2026-05-24 23:17:11</t>
  </si>
  <si>
    <t>2026-05-24 23:17:58</t>
  </si>
  <si>
    <t>2026-05-24 23:18:26</t>
  </si>
  <si>
    <t>91834</t>
  </si>
  <si>
    <t>2311L</t>
  </si>
  <si>
    <t xml:space="preserve">0:22:28  </t>
  </si>
  <si>
    <t>22:48</t>
  </si>
  <si>
    <t>2026-05-24 22:26:54</t>
  </si>
  <si>
    <t>22:27</t>
  </si>
  <si>
    <t>2026-05-24 22:27:21</t>
  </si>
  <si>
    <t>2026-05-24 22:27:49</t>
  </si>
  <si>
    <t>2026-05-24 22:28:17</t>
  </si>
  <si>
    <t>2026-05-24 22:28:43</t>
  </si>
  <si>
    <t>2026-05-24 22:29:09</t>
  </si>
  <si>
    <t>2026-05-24 22:29:34</t>
  </si>
  <si>
    <t>22:30</t>
  </si>
  <si>
    <t>2026-05-24 22:30:00</t>
  </si>
  <si>
    <t>2026-05-24 22:30:26</t>
  </si>
  <si>
    <t>2026-05-24 22:30:59</t>
  </si>
  <si>
    <t>2026-05-24 22:33:33</t>
  </si>
  <si>
    <t>2026-05-24 22:36:06</t>
  </si>
  <si>
    <t>2026-05-24 22:38:34</t>
  </si>
  <si>
    <t>2026-05-24 22:39:55</t>
  </si>
  <si>
    <t>2026-05-24 22:40:20</t>
  </si>
  <si>
    <t>2026-05-24 22:42:15</t>
  </si>
  <si>
    <t>2026-05-24 22:44:16</t>
  </si>
  <si>
    <t>2026-05-24 22:45:09</t>
  </si>
  <si>
    <t>2026-05-24 22:45:33</t>
  </si>
  <si>
    <t>2026-05-24 22:45:57</t>
  </si>
  <si>
    <t>2026-05-24 22:46:20</t>
  </si>
  <si>
    <t>2026-05-24 22:46:44</t>
  </si>
  <si>
    <t>2026-05-24 22:47:07</t>
  </si>
  <si>
    <t>2026-05-24 22:47:30</t>
  </si>
  <si>
    <t>2026-05-24 22:47:54</t>
  </si>
  <si>
    <t>2026-05-24 22:48:17</t>
  </si>
  <si>
    <t>101834</t>
  </si>
  <si>
    <t>2459L</t>
  </si>
  <si>
    <t xml:space="preserve">0:23:1  </t>
  </si>
  <si>
    <t>22:17</t>
  </si>
  <si>
    <t>2026-05-24 21:54:47</t>
  </si>
  <si>
    <t>2026-05-24 21:55:16</t>
  </si>
  <si>
    <t>2026-05-24 21:55:45</t>
  </si>
  <si>
    <t>2026-05-24 21:56:14</t>
  </si>
  <si>
    <t>2026-05-24 21:56:44</t>
  </si>
  <si>
    <t>21:57</t>
  </si>
  <si>
    <t>2026-05-24 21:57:13</t>
  </si>
  <si>
    <t>2026-05-24 21:57:41</t>
  </si>
  <si>
    <t>2026-05-24 21:58:10</t>
  </si>
  <si>
    <t>2026-05-24 21:58:40</t>
  </si>
  <si>
    <t>21:59</t>
  </si>
  <si>
    <t>2026-05-24 21:59:11</t>
  </si>
  <si>
    <t>2026-05-24 22:01:26</t>
  </si>
  <si>
    <t>2026-05-24 22:04:11</t>
  </si>
  <si>
    <t>2026-05-24 22:06:50</t>
  </si>
  <si>
    <t>2026-05-24 22:08:41</t>
  </si>
  <si>
    <t>2026-05-24 22:09:24</t>
  </si>
  <si>
    <t>2026-05-24 22:10:37</t>
  </si>
  <si>
    <t>2026-05-24 22:11:34</t>
  </si>
  <si>
    <t>2026-05-24 22:13:25</t>
  </si>
  <si>
    <t>2026-05-24 22:13:50</t>
  </si>
  <si>
    <t>22:14</t>
  </si>
  <si>
    <t>2026-05-24 22:14:14</t>
  </si>
  <si>
    <t>2026-05-24 22:14:38</t>
  </si>
  <si>
    <t>22:15</t>
  </si>
  <si>
    <t>2026-05-24 22:15:02</t>
  </si>
  <si>
    <t>2026-05-24 22:15:27</t>
  </si>
  <si>
    <t>2026-05-24 22:15:51</t>
  </si>
  <si>
    <t>22:16</t>
  </si>
  <si>
    <t>2026-05-24 22:16:16</t>
  </si>
  <si>
    <t>2026-05-24 22:16:45</t>
  </si>
  <si>
    <t>111834</t>
  </si>
  <si>
    <t>2402L</t>
  </si>
  <si>
    <t xml:space="preserve">0:24:21  </t>
  </si>
  <si>
    <t>2026-05-24 21:18:10</t>
  </si>
  <si>
    <t>2026-05-24 21:18:39</t>
  </si>
  <si>
    <t>2026-05-24 21:19:09</t>
  </si>
  <si>
    <t>2026-05-24 21:19:39</t>
  </si>
  <si>
    <t>21:20</t>
  </si>
  <si>
    <t>2026-05-24 21:20:10</t>
  </si>
  <si>
    <t>2026-05-24 21:20:40</t>
  </si>
  <si>
    <t>2026-05-24 21:21:11</t>
  </si>
  <si>
    <t>2026-05-24 21:21:42</t>
  </si>
  <si>
    <t>2026-05-24 21:22:14</t>
  </si>
  <si>
    <t>2026-05-24 21:22:46</t>
  </si>
  <si>
    <t>2026-05-24 21:24:58</t>
  </si>
  <si>
    <t>2026-05-24 21:27:36</t>
  </si>
  <si>
    <t>21:30</t>
  </si>
  <si>
    <t>2026-05-24 21:30:13</t>
  </si>
  <si>
    <t>2026-05-24 21:32:19</t>
  </si>
  <si>
    <t>2026-05-24 21:33:00</t>
  </si>
  <si>
    <t>2026-05-24 21:34:40</t>
  </si>
  <si>
    <t>2026-05-24 21:35:36</t>
  </si>
  <si>
    <t>2026-05-24 21:36:34</t>
  </si>
  <si>
    <t>2026-05-24 21:37:10</t>
  </si>
  <si>
    <t>2026-05-24 21:37:39</t>
  </si>
  <si>
    <t>2026-05-24 21:38:08</t>
  </si>
  <si>
    <t>2026-05-24 21:38:37</t>
  </si>
  <si>
    <t>2026-05-24 21:39:04</t>
  </si>
  <si>
    <t>2026-05-24 21:39:29</t>
  </si>
  <si>
    <t>2026-05-24 21:39:54</t>
  </si>
  <si>
    <t>2026-05-24 21:40:18</t>
  </si>
  <si>
    <t>2026-05-24 21:40:54</t>
  </si>
  <si>
    <t>2026-05-24 21:41:16</t>
  </si>
  <si>
    <t>121834</t>
  </si>
  <si>
    <t>2521L</t>
  </si>
  <si>
    <t xml:space="preserve">0:26:11  </t>
  </si>
  <si>
    <t>21:06</t>
  </si>
  <si>
    <t>2026-05-24 20:41:18</t>
  </si>
  <si>
    <t>2026-05-24 20:41:47</t>
  </si>
  <si>
    <t>2026-05-24 20:42:17</t>
  </si>
  <si>
    <t>2026-05-24 20:42:47</t>
  </si>
  <si>
    <t>2026-05-24 20:43:18</t>
  </si>
  <si>
    <t>2026-05-24 20:43:48</t>
  </si>
  <si>
    <t>2026-05-24 20:44:49</t>
  </si>
  <si>
    <t>2026-05-24 20:45:21</t>
  </si>
  <si>
    <t>2026-05-24 20:45:53</t>
  </si>
  <si>
    <t>2026-05-24 20:48:53</t>
  </si>
  <si>
    <t>2026-05-24 20:51:33</t>
  </si>
  <si>
    <t>2026-05-24 20:54:03</t>
  </si>
  <si>
    <t>2026-05-24 20:56:02</t>
  </si>
  <si>
    <t>2026-05-24 20:59:17</t>
  </si>
  <si>
    <t>2026-05-24 21:00:18</t>
  </si>
  <si>
    <t>2026-05-24 21:01:18</t>
  </si>
  <si>
    <t>2026-05-24 21:02:17</t>
  </si>
  <si>
    <t>2026-05-24 21:02:40</t>
  </si>
  <si>
    <t>2026-05-24 21:03:04</t>
  </si>
  <si>
    <t>2026-05-24 21:03:27</t>
  </si>
  <si>
    <t>2026-05-24 21:03:51</t>
  </si>
  <si>
    <t>21:04</t>
  </si>
  <si>
    <t>2026-05-24 21:04:14</t>
  </si>
  <si>
    <t>2026-05-24 21:04:38</t>
  </si>
  <si>
    <t>2026-05-24 21:05:01</t>
  </si>
  <si>
    <t>2026-05-24 21:05:24</t>
  </si>
  <si>
    <t>2026-05-24 21:05:47</t>
  </si>
  <si>
    <t>131834</t>
  </si>
  <si>
    <t>13.93m</t>
  </si>
  <si>
    <t>13.99m</t>
  </si>
  <si>
    <t>2761L</t>
  </si>
  <si>
    <t xml:space="preserve">0:28:18  </t>
  </si>
  <si>
    <t>20:28</t>
  </si>
  <si>
    <t>2026-05-24 20:03:08</t>
  </si>
  <si>
    <t>2026-05-24 20:03:31</t>
  </si>
  <si>
    <t>2026-05-24 20:03:55</t>
  </si>
  <si>
    <t>20:04</t>
  </si>
  <si>
    <t>2026-05-24 20:04:19</t>
  </si>
  <si>
    <t>2026-05-24 20:04:43</t>
  </si>
  <si>
    <t>2026-05-24 20:05:12</t>
  </si>
  <si>
    <t>2026-05-24 20:05:40</t>
  </si>
  <si>
    <t>2026-05-24 20:06:08</t>
  </si>
  <si>
    <t>2026-05-24 20:06:37</t>
  </si>
  <si>
    <t>2026-05-24 20:09:25</t>
  </si>
  <si>
    <t>20:12</t>
  </si>
  <si>
    <t>2026-05-24 20:12:10</t>
  </si>
  <si>
    <t>2026-05-24 20:14:45</t>
  </si>
  <si>
    <t>2026-05-24 20:17:20</t>
  </si>
  <si>
    <t>2026-05-24 20:19:31</t>
  </si>
  <si>
    <t>2026-05-24 20:19:50</t>
  </si>
  <si>
    <t>2026-05-24 20:21:42</t>
  </si>
  <si>
    <t>2026-05-24 20:22:39</t>
  </si>
  <si>
    <t>2026-05-24 20:23:36</t>
  </si>
  <si>
    <t>2026-05-24 20:24:15</t>
  </si>
  <si>
    <t>2026-05-24 20:24:48</t>
  </si>
  <si>
    <t>2026-05-24 20:25:13</t>
  </si>
  <si>
    <t>2026-05-24 20:25:39</t>
  </si>
  <si>
    <t>2026-05-24 20:26:05</t>
  </si>
  <si>
    <t>2026-05-24 20:26:31</t>
  </si>
  <si>
    <t>2026-05-24 20:26:57</t>
  </si>
  <si>
    <t>2026-05-24 20:27:22</t>
  </si>
  <si>
    <t>2026-05-24 20:27:48</t>
  </si>
  <si>
    <t>2026-05-24 20:28:14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</si>
</sst>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6" xfId="0" applyNumberFormat="1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6" xfId="0" applyNumberFormat="1" applyFont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3" borderId="0" xfId="0" applyNumberFormat="1" applyFont="1" applyFill="1" applyBorder="1"/>
    <xf numFmtId="0" fontId="0" fillId="4" borderId="4" xfId="0" applyNumberFormat="1" applyFont="1" applyFill="1" applyBorder="1"/>
    <xf numFmtId="0" fontId="0" fillId="4" borderId="5" xfId="0" applyNumberFormat="1" applyFont="1" applyFill="1" applyBorder="1"/>
    <xf numFmtId="0" fontId="0" fillId="4" borderId="6" xfId="0" applyNumberFormat="1" applyFont="1" applyFill="1" applyBorder="1"/>
    <xf numFmtId="2" fontId="0" fillId="0" borderId="0" xfId="0" applyNumberFormat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3" borderId="3" xfId="0" applyNumberFormat="1" applyFont="1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9792-8A4B-4496-A609-B11D4EB2E13D}">
  <dimension ref="A1:P40"/>
  <sheetViews>
    <sheetView zoomScale="70" zoomScaleNormal="70" workbookViewId="0">
      <selection activeCell="N22" sqref="N22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128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129</v>
      </c>
      <c r="C4" s="6" t="s">
        <v>13</v>
      </c>
      <c r="D4" s="6" t="s">
        <v>13</v>
      </c>
      <c r="E4" s="6" t="s">
        <v>19</v>
      </c>
      <c r="F4" s="6" t="s">
        <v>130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131</v>
      </c>
      <c r="C5" s="9" t="s">
        <v>13</v>
      </c>
      <c r="D5" s="9" t="s">
        <v>13</v>
      </c>
      <c r="E5" s="9" t="s">
        <v>22</v>
      </c>
      <c r="F5" s="9" t="s">
        <v>132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133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134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</row>
    <row r="11" spans="1:16">
      <c r="A11" s="8" t="s">
        <v>39</v>
      </c>
      <c r="B11" s="9" t="s">
        <v>135</v>
      </c>
      <c r="C11" s="9">
        <v>0</v>
      </c>
      <c r="D11" s="9" t="s">
        <v>42</v>
      </c>
      <c r="E11" s="9" t="s">
        <v>42</v>
      </c>
      <c r="F11" s="9">
        <v>0</v>
      </c>
      <c r="G11" s="9" t="s">
        <v>42</v>
      </c>
      <c r="H11" s="9" t="s">
        <v>42</v>
      </c>
      <c r="I11" s="9" t="s">
        <v>13</v>
      </c>
      <c r="J11" s="9">
        <v>0</v>
      </c>
      <c r="K11" s="9">
        <v>0</v>
      </c>
      <c r="L11" s="9" t="s">
        <v>128</v>
      </c>
      <c r="M11" s="10" t="s">
        <v>136</v>
      </c>
      <c r="O11" t="s">
        <v>198</v>
      </c>
      <c r="P11">
        <f>13.66-3</f>
        <v>10.66</v>
      </c>
    </row>
    <row r="12" spans="1:16">
      <c r="A12" s="5" t="s">
        <v>45</v>
      </c>
      <c r="B12" s="6" t="s">
        <v>135</v>
      </c>
      <c r="C12" s="6">
        <v>1.02</v>
      </c>
      <c r="D12" s="6" t="s">
        <v>39</v>
      </c>
      <c r="E12" s="6" t="s">
        <v>42</v>
      </c>
      <c r="F12" s="6">
        <v>0</v>
      </c>
      <c r="G12" s="6">
        <v>0</v>
      </c>
      <c r="H12" s="6">
        <v>4.2</v>
      </c>
      <c r="I12" s="6" t="s">
        <v>42</v>
      </c>
      <c r="J12" s="6">
        <v>0.5</v>
      </c>
      <c r="K12" s="6">
        <v>-0.1</v>
      </c>
      <c r="L12" s="6" t="s">
        <v>128</v>
      </c>
      <c r="M12" s="7" t="s">
        <v>136</v>
      </c>
      <c r="O12" t="s">
        <v>127</v>
      </c>
      <c r="P12" s="18">
        <f>SUM(F22:F27)</f>
        <v>2273</v>
      </c>
    </row>
    <row r="13" spans="1:16">
      <c r="A13" s="8" t="s">
        <v>46</v>
      </c>
      <c r="B13" s="9" t="s">
        <v>135</v>
      </c>
      <c r="C13" s="9">
        <v>2.02</v>
      </c>
      <c r="D13" s="9" t="s">
        <v>42</v>
      </c>
      <c r="E13" s="9" t="s">
        <v>39</v>
      </c>
      <c r="F13" s="9">
        <v>1</v>
      </c>
      <c r="G13" s="9">
        <v>0</v>
      </c>
      <c r="H13" s="9">
        <v>4.3</v>
      </c>
      <c r="I13" s="9" t="s">
        <v>42</v>
      </c>
      <c r="J13" s="9">
        <v>0.4</v>
      </c>
      <c r="K13" s="9">
        <v>-0.1</v>
      </c>
      <c r="L13" s="9" t="s">
        <v>128</v>
      </c>
      <c r="M13" s="10" t="s">
        <v>137</v>
      </c>
      <c r="O13" t="s">
        <v>125</v>
      </c>
      <c r="P13">
        <f>AVERAGE(H21:H26)</f>
        <v>0.91666666666666685</v>
      </c>
    </row>
    <row r="14" spans="1:16">
      <c r="A14" s="5" t="s">
        <v>48</v>
      </c>
      <c r="B14" s="6" t="s">
        <v>135</v>
      </c>
      <c r="C14" s="6">
        <v>3.02</v>
      </c>
      <c r="D14" s="6" t="s">
        <v>39</v>
      </c>
      <c r="E14" s="6" t="s">
        <v>39</v>
      </c>
      <c r="F14" s="6">
        <v>0</v>
      </c>
      <c r="G14" s="6">
        <v>0</v>
      </c>
      <c r="H14" s="6">
        <v>4.3</v>
      </c>
      <c r="I14" s="6" t="s">
        <v>42</v>
      </c>
      <c r="J14" s="6">
        <v>0.6</v>
      </c>
      <c r="K14" s="6">
        <v>-0.1</v>
      </c>
      <c r="L14" s="6" t="s">
        <v>128</v>
      </c>
      <c r="M14" s="7" t="s">
        <v>138</v>
      </c>
      <c r="O14" t="s">
        <v>126</v>
      </c>
      <c r="P14">
        <f>AVERAGE(H27:H30)</f>
        <v>0.72499999999999998</v>
      </c>
    </row>
    <row r="15" spans="1:16">
      <c r="A15" s="8" t="s">
        <v>51</v>
      </c>
      <c r="B15" s="9" t="s">
        <v>139</v>
      </c>
      <c r="C15" s="9">
        <v>4.05</v>
      </c>
      <c r="D15" s="9" t="s">
        <v>39</v>
      </c>
      <c r="E15" s="9" t="s">
        <v>39</v>
      </c>
      <c r="F15" s="9">
        <v>0</v>
      </c>
      <c r="G15" s="9">
        <v>0</v>
      </c>
      <c r="H15" s="9">
        <v>4.2</v>
      </c>
      <c r="I15" s="9" t="s">
        <v>42</v>
      </c>
      <c r="J15" s="9">
        <v>0.5</v>
      </c>
      <c r="K15" s="9">
        <v>-0.1</v>
      </c>
      <c r="L15" s="9" t="s">
        <v>128</v>
      </c>
      <c r="M15" s="10" t="s">
        <v>140</v>
      </c>
    </row>
    <row r="16" spans="1:16">
      <c r="A16" s="5" t="s">
        <v>54</v>
      </c>
      <c r="B16" s="6" t="s">
        <v>139</v>
      </c>
      <c r="C16" s="6">
        <v>5.08</v>
      </c>
      <c r="D16" s="6" t="s">
        <v>42</v>
      </c>
      <c r="E16" s="6" t="s">
        <v>39</v>
      </c>
      <c r="F16" s="6">
        <v>0</v>
      </c>
      <c r="G16" s="6">
        <v>0</v>
      </c>
      <c r="H16" s="6">
        <v>4.2</v>
      </c>
      <c r="I16" s="6" t="s">
        <v>42</v>
      </c>
      <c r="J16" s="6">
        <v>0.6</v>
      </c>
      <c r="K16" s="6">
        <v>-0.1</v>
      </c>
      <c r="L16" s="6" t="s">
        <v>128</v>
      </c>
      <c r="M16" s="7" t="s">
        <v>141</v>
      </c>
    </row>
    <row r="17" spans="1:13">
      <c r="A17" s="8" t="s">
        <v>56</v>
      </c>
      <c r="B17" s="9" t="s">
        <v>139</v>
      </c>
      <c r="C17" s="9">
        <v>6.11</v>
      </c>
      <c r="D17" s="9" t="s">
        <v>42</v>
      </c>
      <c r="E17" s="9" t="s">
        <v>39</v>
      </c>
      <c r="F17" s="9">
        <v>0</v>
      </c>
      <c r="G17" s="9">
        <v>0</v>
      </c>
      <c r="H17" s="9">
        <v>4.3</v>
      </c>
      <c r="I17" s="9" t="s">
        <v>42</v>
      </c>
      <c r="J17" s="9">
        <v>0.6</v>
      </c>
      <c r="K17" s="9">
        <v>-0.1</v>
      </c>
      <c r="L17" s="9" t="s">
        <v>128</v>
      </c>
      <c r="M17" s="10" t="s">
        <v>142</v>
      </c>
    </row>
    <row r="18" spans="1:13">
      <c r="A18" s="5" t="s">
        <v>60</v>
      </c>
      <c r="B18" s="6" t="s">
        <v>139</v>
      </c>
      <c r="C18" s="6">
        <v>7.14</v>
      </c>
      <c r="D18" s="6" t="s">
        <v>39</v>
      </c>
      <c r="E18" s="6" t="s">
        <v>45</v>
      </c>
      <c r="F18" s="6">
        <v>1</v>
      </c>
      <c r="G18" s="6">
        <v>18.2</v>
      </c>
      <c r="H18" s="6">
        <v>4.2</v>
      </c>
      <c r="I18" s="6" t="s">
        <v>143</v>
      </c>
      <c r="J18" s="6">
        <v>0.5</v>
      </c>
      <c r="K18" s="6">
        <v>-0.1</v>
      </c>
      <c r="L18" s="6" t="s">
        <v>128</v>
      </c>
      <c r="M18" s="7" t="s">
        <v>144</v>
      </c>
    </row>
    <row r="19" spans="1:13">
      <c r="A19" s="8" t="s">
        <v>62</v>
      </c>
      <c r="B19" s="9" t="s">
        <v>145</v>
      </c>
      <c r="C19" s="9">
        <v>8.17</v>
      </c>
      <c r="D19" s="9" t="s">
        <v>39</v>
      </c>
      <c r="E19" s="9" t="s">
        <v>45</v>
      </c>
      <c r="F19" s="9">
        <v>0</v>
      </c>
      <c r="G19" s="9">
        <v>24</v>
      </c>
      <c r="H19" s="9">
        <v>4.0999999999999996</v>
      </c>
      <c r="I19" s="9" t="s">
        <v>63</v>
      </c>
      <c r="J19" s="9">
        <v>0.5</v>
      </c>
      <c r="K19" s="9">
        <v>0</v>
      </c>
      <c r="L19" s="9" t="s">
        <v>128</v>
      </c>
      <c r="M19" s="10" t="s">
        <v>146</v>
      </c>
    </row>
    <row r="20" spans="1:13">
      <c r="A20" s="5" t="s">
        <v>65</v>
      </c>
      <c r="B20" s="6" t="s">
        <v>145</v>
      </c>
      <c r="C20" s="6">
        <v>9.2100000000000009</v>
      </c>
      <c r="D20" s="6" t="s">
        <v>42</v>
      </c>
      <c r="E20" s="6" t="s">
        <v>45</v>
      </c>
      <c r="F20" s="6">
        <v>0</v>
      </c>
      <c r="G20" s="6">
        <v>24</v>
      </c>
      <c r="H20" s="6">
        <v>4.0999999999999996</v>
      </c>
      <c r="I20" s="6" t="s">
        <v>63</v>
      </c>
      <c r="J20" s="6">
        <v>0.5</v>
      </c>
      <c r="K20" s="6">
        <v>0</v>
      </c>
      <c r="L20" s="6" t="s">
        <v>128</v>
      </c>
      <c r="M20" s="7" t="s">
        <v>147</v>
      </c>
    </row>
    <row r="21" spans="1:13">
      <c r="A21" s="8" t="s">
        <v>68</v>
      </c>
      <c r="B21" s="9" t="s">
        <v>145</v>
      </c>
      <c r="C21" s="9">
        <v>10.210000000000001</v>
      </c>
      <c r="D21" s="9" t="s">
        <v>39</v>
      </c>
      <c r="E21" s="9" t="s">
        <v>45</v>
      </c>
      <c r="F21" s="9">
        <v>0</v>
      </c>
      <c r="G21" s="9">
        <v>24</v>
      </c>
      <c r="H21" s="9">
        <v>3.9</v>
      </c>
      <c r="I21" s="9" t="s">
        <v>58</v>
      </c>
      <c r="J21" s="9">
        <v>0.6</v>
      </c>
      <c r="K21" s="9">
        <v>-0.1</v>
      </c>
      <c r="L21" s="9" t="s">
        <v>128</v>
      </c>
      <c r="M21" s="10" t="s">
        <v>148</v>
      </c>
    </row>
    <row r="22" spans="1:13">
      <c r="A22" s="15" t="s">
        <v>71</v>
      </c>
      <c r="B22" s="16" t="s">
        <v>149</v>
      </c>
      <c r="C22" s="16">
        <v>11.21</v>
      </c>
      <c r="D22" s="16" t="s">
        <v>150</v>
      </c>
      <c r="E22" s="16" t="s">
        <v>151</v>
      </c>
      <c r="F22" s="16">
        <v>466</v>
      </c>
      <c r="G22" s="16">
        <v>24</v>
      </c>
      <c r="H22" s="16">
        <v>0.4</v>
      </c>
      <c r="I22" s="16" t="s">
        <v>73</v>
      </c>
      <c r="J22" s="16">
        <v>0.6</v>
      </c>
      <c r="K22" s="16">
        <v>-0.1</v>
      </c>
      <c r="L22" s="16" t="s">
        <v>128</v>
      </c>
      <c r="M22" s="17" t="s">
        <v>152</v>
      </c>
    </row>
    <row r="23" spans="1:13">
      <c r="A23" s="8" t="s">
        <v>75</v>
      </c>
      <c r="B23" s="9" t="s">
        <v>153</v>
      </c>
      <c r="C23" s="9">
        <v>12.21</v>
      </c>
      <c r="D23" s="9" t="s">
        <v>77</v>
      </c>
      <c r="E23" s="9" t="s">
        <v>154</v>
      </c>
      <c r="F23" s="9">
        <v>701</v>
      </c>
      <c r="G23" s="9">
        <v>24</v>
      </c>
      <c r="H23" s="9">
        <v>0.4</v>
      </c>
      <c r="I23" s="9" t="s">
        <v>155</v>
      </c>
      <c r="J23" s="9">
        <v>0.6</v>
      </c>
      <c r="K23" s="9">
        <v>0</v>
      </c>
      <c r="L23" s="9" t="s">
        <v>128</v>
      </c>
      <c r="M23" s="10" t="s">
        <v>156</v>
      </c>
    </row>
    <row r="24" spans="1:13">
      <c r="A24" s="5" t="s">
        <v>79</v>
      </c>
      <c r="B24" s="6" t="s">
        <v>157</v>
      </c>
      <c r="C24" s="6">
        <v>13.21</v>
      </c>
      <c r="D24" s="6" t="s">
        <v>158</v>
      </c>
      <c r="E24" s="6" t="s">
        <v>159</v>
      </c>
      <c r="F24" s="6">
        <v>722</v>
      </c>
      <c r="G24" s="6">
        <v>24</v>
      </c>
      <c r="H24" s="6">
        <v>0.4</v>
      </c>
      <c r="I24" s="6" t="s">
        <v>81</v>
      </c>
      <c r="J24" s="6">
        <v>0.6</v>
      </c>
      <c r="K24" s="6">
        <v>-0.1</v>
      </c>
      <c r="L24" s="6" t="s">
        <v>128</v>
      </c>
      <c r="M24" s="7" t="s">
        <v>160</v>
      </c>
    </row>
    <row r="25" spans="1:13">
      <c r="A25" s="8" t="s">
        <v>83</v>
      </c>
      <c r="B25" s="9" t="s">
        <v>161</v>
      </c>
      <c r="C25" s="9">
        <v>13.66</v>
      </c>
      <c r="D25" s="9" t="s">
        <v>158</v>
      </c>
      <c r="E25" s="9" t="s">
        <v>162</v>
      </c>
      <c r="F25" s="9">
        <v>327</v>
      </c>
      <c r="G25" s="9">
        <v>24</v>
      </c>
      <c r="H25" s="9">
        <v>0.4</v>
      </c>
      <c r="I25" s="9" t="s">
        <v>163</v>
      </c>
      <c r="J25" s="9">
        <v>0.4</v>
      </c>
      <c r="K25" s="9">
        <v>0</v>
      </c>
      <c r="L25" s="9" t="s">
        <v>128</v>
      </c>
      <c r="M25" s="10" t="s">
        <v>164</v>
      </c>
    </row>
    <row r="26" spans="1:13">
      <c r="A26" s="15" t="s">
        <v>86</v>
      </c>
      <c r="B26" s="16" t="s">
        <v>161</v>
      </c>
      <c r="C26" s="16">
        <v>13.68</v>
      </c>
      <c r="D26" s="16" t="s">
        <v>165</v>
      </c>
      <c r="E26" s="16" t="s">
        <v>166</v>
      </c>
      <c r="F26" s="16">
        <v>47</v>
      </c>
      <c r="G26" s="16">
        <v>24</v>
      </c>
      <c r="H26" s="16">
        <v>0</v>
      </c>
      <c r="I26" s="16" t="s">
        <v>88</v>
      </c>
      <c r="J26" s="16">
        <v>0.4</v>
      </c>
      <c r="K26" s="16">
        <v>0.1</v>
      </c>
      <c r="L26" s="16" t="s">
        <v>128</v>
      </c>
      <c r="M26" s="17" t="s">
        <v>167</v>
      </c>
    </row>
    <row r="27" spans="1:13">
      <c r="A27" s="8" t="s">
        <v>90</v>
      </c>
      <c r="B27" s="9" t="s">
        <v>168</v>
      </c>
      <c r="C27" s="9">
        <v>13.68</v>
      </c>
      <c r="D27" s="9" t="s">
        <v>39</v>
      </c>
      <c r="E27" s="9" t="s">
        <v>169</v>
      </c>
      <c r="F27" s="9">
        <v>10</v>
      </c>
      <c r="G27" s="9">
        <v>24</v>
      </c>
      <c r="H27" s="9">
        <v>0</v>
      </c>
      <c r="I27" s="9" t="s">
        <v>170</v>
      </c>
      <c r="J27" s="9">
        <v>0.6</v>
      </c>
      <c r="K27" s="9">
        <v>-0.1</v>
      </c>
      <c r="L27" s="9" t="s">
        <v>128</v>
      </c>
      <c r="M27" s="10" t="s">
        <v>171</v>
      </c>
    </row>
    <row r="28" spans="1:13">
      <c r="A28" s="5" t="s">
        <v>94</v>
      </c>
      <c r="B28" s="6" t="s">
        <v>172</v>
      </c>
      <c r="C28" s="6">
        <v>12.66</v>
      </c>
      <c r="D28" s="6" t="s">
        <v>39</v>
      </c>
      <c r="E28" s="6" t="s">
        <v>173</v>
      </c>
      <c r="F28" s="6">
        <v>1</v>
      </c>
      <c r="G28" s="6">
        <v>24</v>
      </c>
      <c r="H28" s="6">
        <v>0.9</v>
      </c>
      <c r="I28" s="6" t="s">
        <v>155</v>
      </c>
      <c r="J28" s="6">
        <v>0.6</v>
      </c>
      <c r="K28" s="6">
        <v>-0.1</v>
      </c>
      <c r="L28" s="6" t="s">
        <v>128</v>
      </c>
      <c r="M28" s="7" t="s">
        <v>174</v>
      </c>
    </row>
    <row r="29" spans="1:13">
      <c r="A29" s="8" t="s">
        <v>98</v>
      </c>
      <c r="B29" s="9" t="s">
        <v>175</v>
      </c>
      <c r="C29" s="9">
        <v>11.66</v>
      </c>
      <c r="D29" s="9" t="s">
        <v>39</v>
      </c>
      <c r="E29" s="9" t="s">
        <v>176</v>
      </c>
      <c r="F29" s="9">
        <v>1</v>
      </c>
      <c r="G29" s="9">
        <v>24</v>
      </c>
      <c r="H29" s="9">
        <v>1</v>
      </c>
      <c r="I29" s="9" t="s">
        <v>58</v>
      </c>
      <c r="J29" s="9">
        <v>0.6</v>
      </c>
      <c r="K29" s="9">
        <v>-0.1</v>
      </c>
      <c r="L29" s="9" t="s">
        <v>128</v>
      </c>
      <c r="M29" s="10" t="s">
        <v>177</v>
      </c>
    </row>
    <row r="30" spans="1:13">
      <c r="A30" s="5" t="s">
        <v>101</v>
      </c>
      <c r="B30" s="6" t="s">
        <v>178</v>
      </c>
      <c r="C30" s="6">
        <v>10.66</v>
      </c>
      <c r="D30" s="6" t="s">
        <v>39</v>
      </c>
      <c r="E30" s="6" t="s">
        <v>179</v>
      </c>
      <c r="F30" s="6">
        <v>1</v>
      </c>
      <c r="G30" s="6">
        <v>24</v>
      </c>
      <c r="H30" s="6">
        <v>1</v>
      </c>
      <c r="I30" s="6" t="s">
        <v>58</v>
      </c>
      <c r="J30" s="6">
        <v>0.5</v>
      </c>
      <c r="K30" s="6">
        <v>-0.1</v>
      </c>
      <c r="L30" s="6" t="s">
        <v>128</v>
      </c>
      <c r="M30" s="7" t="s">
        <v>180</v>
      </c>
    </row>
    <row r="31" spans="1:13">
      <c r="A31" s="8" t="s">
        <v>104</v>
      </c>
      <c r="B31" s="9" t="s">
        <v>178</v>
      </c>
      <c r="C31" s="9">
        <v>9.66</v>
      </c>
      <c r="D31" s="9" t="s">
        <v>42</v>
      </c>
      <c r="E31" s="9" t="s">
        <v>181</v>
      </c>
      <c r="F31" s="9">
        <v>1</v>
      </c>
      <c r="G31" s="9">
        <v>24</v>
      </c>
      <c r="H31" s="9">
        <v>1.8</v>
      </c>
      <c r="I31" s="9" t="s">
        <v>58</v>
      </c>
      <c r="J31" s="9">
        <v>0.6</v>
      </c>
      <c r="K31" s="9">
        <v>0.1</v>
      </c>
      <c r="L31" s="9" t="s">
        <v>128</v>
      </c>
      <c r="M31" s="10" t="s">
        <v>182</v>
      </c>
    </row>
    <row r="32" spans="1:13">
      <c r="A32" s="5" t="s">
        <v>106</v>
      </c>
      <c r="B32" s="6" t="s">
        <v>183</v>
      </c>
      <c r="C32" s="6">
        <v>8.66</v>
      </c>
      <c r="D32" s="6" t="s">
        <v>39</v>
      </c>
      <c r="E32" s="6" t="s">
        <v>181</v>
      </c>
      <c r="F32" s="6">
        <v>0</v>
      </c>
      <c r="G32" s="6">
        <v>24</v>
      </c>
      <c r="H32" s="6">
        <v>1.9</v>
      </c>
      <c r="I32" s="6" t="s">
        <v>58</v>
      </c>
      <c r="J32" s="6">
        <v>0.5</v>
      </c>
      <c r="K32" s="6">
        <v>0.1</v>
      </c>
      <c r="L32" s="6" t="s">
        <v>128</v>
      </c>
      <c r="M32" s="7" t="s">
        <v>184</v>
      </c>
    </row>
    <row r="33" spans="1:13">
      <c r="A33" s="8" t="s">
        <v>96</v>
      </c>
      <c r="B33" s="9" t="s">
        <v>183</v>
      </c>
      <c r="C33" s="9">
        <v>7.65</v>
      </c>
      <c r="D33" s="9" t="s">
        <v>39</v>
      </c>
      <c r="E33" s="9" t="s">
        <v>185</v>
      </c>
      <c r="F33" s="9">
        <v>1</v>
      </c>
      <c r="G33" s="9">
        <v>0</v>
      </c>
      <c r="H33" s="9">
        <v>3.1</v>
      </c>
      <c r="I33" s="9" t="s">
        <v>42</v>
      </c>
      <c r="J33" s="9">
        <v>0.6</v>
      </c>
      <c r="K33" s="9">
        <v>-0.1</v>
      </c>
      <c r="L33" s="9" t="s">
        <v>128</v>
      </c>
      <c r="M33" s="10" t="s">
        <v>186</v>
      </c>
    </row>
    <row r="34" spans="1:13">
      <c r="A34" s="5" t="s">
        <v>110</v>
      </c>
      <c r="B34" s="6" t="s">
        <v>187</v>
      </c>
      <c r="C34" s="6">
        <v>6.65</v>
      </c>
      <c r="D34" s="6" t="s">
        <v>42</v>
      </c>
      <c r="E34" s="6" t="s">
        <v>185</v>
      </c>
      <c r="F34" s="6">
        <v>0</v>
      </c>
      <c r="G34" s="6">
        <v>0</v>
      </c>
      <c r="H34" s="6">
        <v>2.9</v>
      </c>
      <c r="I34" s="6" t="s">
        <v>42</v>
      </c>
      <c r="J34" s="6">
        <v>0.6</v>
      </c>
      <c r="K34" s="6">
        <v>0.1</v>
      </c>
      <c r="L34" s="6" t="s">
        <v>128</v>
      </c>
      <c r="M34" s="7" t="s">
        <v>188</v>
      </c>
    </row>
    <row r="35" spans="1:13">
      <c r="A35" s="8" t="s">
        <v>112</v>
      </c>
      <c r="B35" s="9" t="s">
        <v>187</v>
      </c>
      <c r="C35" s="9">
        <v>5.63</v>
      </c>
      <c r="D35" s="9" t="s">
        <v>42</v>
      </c>
      <c r="E35" s="9" t="s">
        <v>185</v>
      </c>
      <c r="F35" s="9">
        <v>0</v>
      </c>
      <c r="G35" s="9">
        <v>0</v>
      </c>
      <c r="H35" s="9">
        <v>3</v>
      </c>
      <c r="I35" s="9" t="s">
        <v>42</v>
      </c>
      <c r="J35" s="9">
        <v>0.6</v>
      </c>
      <c r="K35" s="9">
        <v>0.1</v>
      </c>
      <c r="L35" s="9" t="s">
        <v>128</v>
      </c>
      <c r="M35" s="10" t="s">
        <v>189</v>
      </c>
    </row>
    <row r="36" spans="1:13">
      <c r="A36" s="5" t="s">
        <v>115</v>
      </c>
      <c r="B36" s="6" t="s">
        <v>187</v>
      </c>
      <c r="C36" s="6">
        <v>4.62</v>
      </c>
      <c r="D36" s="6" t="s">
        <v>39</v>
      </c>
      <c r="E36" s="6" t="s">
        <v>185</v>
      </c>
      <c r="F36" s="6">
        <v>0</v>
      </c>
      <c r="G36" s="6">
        <v>0</v>
      </c>
      <c r="H36" s="6">
        <v>3</v>
      </c>
      <c r="I36" s="6" t="s">
        <v>42</v>
      </c>
      <c r="J36" s="6">
        <v>0.6</v>
      </c>
      <c r="K36" s="6">
        <v>0.2</v>
      </c>
      <c r="L36" s="6" t="s">
        <v>128</v>
      </c>
      <c r="M36" s="7" t="s">
        <v>190</v>
      </c>
    </row>
    <row r="37" spans="1:13">
      <c r="A37" s="8" t="s">
        <v>92</v>
      </c>
      <c r="B37" s="9" t="s">
        <v>191</v>
      </c>
      <c r="C37" s="9">
        <v>3.61</v>
      </c>
      <c r="D37" s="9" t="s">
        <v>39</v>
      </c>
      <c r="E37" s="9" t="s">
        <v>192</v>
      </c>
      <c r="F37" s="9">
        <v>1</v>
      </c>
      <c r="G37" s="9">
        <v>0</v>
      </c>
      <c r="H37" s="9">
        <v>3.1</v>
      </c>
      <c r="I37" s="9" t="s">
        <v>42</v>
      </c>
      <c r="J37" s="9">
        <v>0.6</v>
      </c>
      <c r="K37" s="9">
        <v>0.2</v>
      </c>
      <c r="L37" s="9" t="s">
        <v>128</v>
      </c>
      <c r="M37" s="10" t="s">
        <v>193</v>
      </c>
    </row>
    <row r="38" spans="1:13">
      <c r="A38" s="5" t="s">
        <v>119</v>
      </c>
      <c r="B38" s="6" t="s">
        <v>191</v>
      </c>
      <c r="C38" s="6">
        <v>2.61</v>
      </c>
      <c r="D38" s="6" t="s">
        <v>39</v>
      </c>
      <c r="E38" s="6" t="s">
        <v>192</v>
      </c>
      <c r="F38" s="6">
        <v>0</v>
      </c>
      <c r="G38" s="6">
        <v>0</v>
      </c>
      <c r="H38" s="6">
        <v>3.3</v>
      </c>
      <c r="I38" s="6" t="s">
        <v>42</v>
      </c>
      <c r="J38" s="6">
        <v>0.5</v>
      </c>
      <c r="K38" s="6">
        <v>0.2</v>
      </c>
      <c r="L38" s="6" t="s">
        <v>128</v>
      </c>
      <c r="M38" s="7" t="s">
        <v>194</v>
      </c>
    </row>
    <row r="39" spans="1:13">
      <c r="A39" s="8" t="s">
        <v>121</v>
      </c>
      <c r="B39" s="9" t="s">
        <v>191</v>
      </c>
      <c r="C39" s="9">
        <v>1.6</v>
      </c>
      <c r="D39" s="9" t="s">
        <v>42</v>
      </c>
      <c r="E39" s="9" t="s">
        <v>192</v>
      </c>
      <c r="F39" s="9">
        <v>0</v>
      </c>
      <c r="G39" s="9">
        <v>0.5</v>
      </c>
      <c r="H39" s="9">
        <v>3.3</v>
      </c>
      <c r="I39" s="9" t="s">
        <v>68</v>
      </c>
      <c r="J39" s="9">
        <v>0.5</v>
      </c>
      <c r="K39" s="9">
        <v>0.2</v>
      </c>
      <c r="L39" s="9" t="s">
        <v>128</v>
      </c>
      <c r="M39" s="10" t="s">
        <v>195</v>
      </c>
    </row>
    <row r="40" spans="1:13">
      <c r="A40" s="19" t="s">
        <v>196</v>
      </c>
      <c r="B40" s="20" t="s">
        <v>134</v>
      </c>
      <c r="C40" s="20">
        <v>0.6</v>
      </c>
      <c r="D40" s="20" t="s">
        <v>39</v>
      </c>
      <c r="E40" s="20" t="s">
        <v>192</v>
      </c>
      <c r="F40" s="20">
        <v>0</v>
      </c>
      <c r="G40" s="20">
        <v>0</v>
      </c>
      <c r="H40" s="20">
        <v>3.1</v>
      </c>
      <c r="I40" s="20" t="s">
        <v>42</v>
      </c>
      <c r="J40" s="20">
        <v>0.5</v>
      </c>
      <c r="K40" s="20">
        <v>0.3</v>
      </c>
      <c r="L40" s="20" t="s">
        <v>128</v>
      </c>
      <c r="M40" s="21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3B5E-0AEE-4082-A2D0-BDACFE1D5157}">
  <dimension ref="A1:P39"/>
  <sheetViews>
    <sheetView tabSelected="1" zoomScale="70" zoomScaleNormal="70" workbookViewId="0">
      <selection activeCell="P38" sqref="P38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1036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1037</v>
      </c>
      <c r="C4" s="6" t="s">
        <v>13</v>
      </c>
      <c r="D4" s="6" t="s">
        <v>13</v>
      </c>
      <c r="E4" s="6" t="s">
        <v>19</v>
      </c>
      <c r="F4" s="6" t="s">
        <v>1038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1039</v>
      </c>
      <c r="C5" s="9" t="s">
        <v>13</v>
      </c>
      <c r="D5" s="9" t="s">
        <v>13</v>
      </c>
      <c r="E5" s="9" t="s">
        <v>22</v>
      </c>
      <c r="F5" s="9" t="s">
        <v>1040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416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1041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O10" s="22" t="s">
        <v>124</v>
      </c>
      <c r="P10">
        <v>10.93</v>
      </c>
    </row>
    <row r="11" spans="1:16">
      <c r="A11" s="8">
        <v>1</v>
      </c>
      <c r="B11" s="9" t="s">
        <v>418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131834</v>
      </c>
      <c r="M11" s="10" t="s">
        <v>1042</v>
      </c>
      <c r="O11" s="23" t="s">
        <v>127</v>
      </c>
      <c r="P11">
        <f>SUM(F21:F27)</f>
        <v>2754</v>
      </c>
    </row>
    <row r="12" spans="1:16">
      <c r="A12" s="5">
        <v>2</v>
      </c>
      <c r="B12" s="6" t="s">
        <v>418</v>
      </c>
      <c r="C12" s="6">
        <v>1</v>
      </c>
      <c r="D12" s="6">
        <v>1</v>
      </c>
      <c r="E12" s="6">
        <v>1</v>
      </c>
      <c r="F12" s="6">
        <v>1</v>
      </c>
      <c r="G12" s="6">
        <v>0</v>
      </c>
      <c r="H12" s="6">
        <v>2.7</v>
      </c>
      <c r="I12" s="6">
        <v>0</v>
      </c>
      <c r="J12" s="6">
        <v>0.1</v>
      </c>
      <c r="K12" s="6">
        <v>0.6</v>
      </c>
      <c r="L12" s="6">
        <v>131834</v>
      </c>
      <c r="M12" s="7" t="s">
        <v>1042</v>
      </c>
      <c r="O12" s="23" t="s">
        <v>125</v>
      </c>
      <c r="P12">
        <f>AVERAGE(H21:H25)</f>
        <v>0.34</v>
      </c>
    </row>
    <row r="13" spans="1:16">
      <c r="A13" s="8">
        <v>3</v>
      </c>
      <c r="B13" s="9" t="s">
        <v>418</v>
      </c>
      <c r="C13" s="9">
        <v>2.02</v>
      </c>
      <c r="D13" s="9">
        <v>0</v>
      </c>
      <c r="E13" s="9">
        <v>1</v>
      </c>
      <c r="F13" s="9">
        <v>0</v>
      </c>
      <c r="G13" s="9">
        <v>0</v>
      </c>
      <c r="H13" s="9">
        <v>2.7</v>
      </c>
      <c r="I13" s="9">
        <v>0</v>
      </c>
      <c r="J13" s="9">
        <v>0.2</v>
      </c>
      <c r="K13" s="9">
        <v>0.7</v>
      </c>
      <c r="L13" s="9">
        <v>131834</v>
      </c>
      <c r="M13" s="10" t="s">
        <v>1043</v>
      </c>
      <c r="O13" s="23" t="s">
        <v>126</v>
      </c>
      <c r="P13">
        <f>AVERAGE(H26:H29)</f>
        <v>0.82500000000000007</v>
      </c>
    </row>
    <row r="14" spans="1:16">
      <c r="A14" s="5">
        <v>4</v>
      </c>
      <c r="B14" s="6" t="s">
        <v>418</v>
      </c>
      <c r="C14" s="6">
        <v>3.02</v>
      </c>
      <c r="D14" s="6">
        <v>1</v>
      </c>
      <c r="E14" s="6">
        <v>2</v>
      </c>
      <c r="F14" s="6">
        <v>1</v>
      </c>
      <c r="G14" s="6">
        <v>0</v>
      </c>
      <c r="H14" s="6">
        <v>2.6</v>
      </c>
      <c r="I14" s="6">
        <v>0</v>
      </c>
      <c r="J14" s="6">
        <v>0.2</v>
      </c>
      <c r="K14" s="6">
        <v>0.6</v>
      </c>
      <c r="L14" s="6">
        <v>131834</v>
      </c>
      <c r="M14" s="7" t="s">
        <v>1044</v>
      </c>
    </row>
    <row r="15" spans="1:16">
      <c r="A15" s="8">
        <v>5</v>
      </c>
      <c r="B15" s="9" t="s">
        <v>1045</v>
      </c>
      <c r="C15" s="9">
        <v>4.03</v>
      </c>
      <c r="D15" s="9">
        <v>0</v>
      </c>
      <c r="E15" s="9">
        <v>2</v>
      </c>
      <c r="F15" s="9">
        <v>0</v>
      </c>
      <c r="G15" s="9">
        <v>0</v>
      </c>
      <c r="H15" s="9">
        <v>2.6</v>
      </c>
      <c r="I15" s="9">
        <v>0</v>
      </c>
      <c r="J15" s="9">
        <v>0.2</v>
      </c>
      <c r="K15" s="9">
        <v>0.6</v>
      </c>
      <c r="L15" s="9">
        <v>131834</v>
      </c>
      <c r="M15" s="10" t="s">
        <v>1046</v>
      </c>
    </row>
    <row r="16" spans="1:16">
      <c r="A16" s="5">
        <v>6</v>
      </c>
      <c r="B16" s="6" t="s">
        <v>1045</v>
      </c>
      <c r="C16" s="6">
        <v>5.04</v>
      </c>
      <c r="D16" s="6">
        <v>1</v>
      </c>
      <c r="E16" s="6">
        <v>2</v>
      </c>
      <c r="F16" s="6">
        <v>0</v>
      </c>
      <c r="G16" s="6">
        <v>0</v>
      </c>
      <c r="H16" s="6">
        <v>2.4</v>
      </c>
      <c r="I16" s="6">
        <v>0</v>
      </c>
      <c r="J16" s="6">
        <v>0.2</v>
      </c>
      <c r="K16" s="6">
        <v>0.6</v>
      </c>
      <c r="L16" s="6">
        <v>131834</v>
      </c>
      <c r="M16" s="7" t="s">
        <v>1047</v>
      </c>
    </row>
    <row r="17" spans="1:13">
      <c r="A17" s="8">
        <v>7</v>
      </c>
      <c r="B17" s="9" t="s">
        <v>420</v>
      </c>
      <c r="C17" s="9">
        <v>6.05</v>
      </c>
      <c r="D17" s="9">
        <v>0</v>
      </c>
      <c r="E17" s="9">
        <v>2</v>
      </c>
      <c r="F17" s="9">
        <v>0</v>
      </c>
      <c r="G17" s="9">
        <v>0</v>
      </c>
      <c r="H17" s="9">
        <v>2.1</v>
      </c>
      <c r="I17" s="9">
        <v>0</v>
      </c>
      <c r="J17" s="9">
        <v>0.2</v>
      </c>
      <c r="K17" s="9">
        <v>0.6</v>
      </c>
      <c r="L17" s="9">
        <v>131834</v>
      </c>
      <c r="M17" s="10" t="s">
        <v>1048</v>
      </c>
    </row>
    <row r="18" spans="1:13">
      <c r="A18" s="5">
        <v>8</v>
      </c>
      <c r="B18" s="6" t="s">
        <v>420</v>
      </c>
      <c r="C18" s="6">
        <v>7.07</v>
      </c>
      <c r="D18" s="6">
        <v>1</v>
      </c>
      <c r="E18" s="6">
        <v>2</v>
      </c>
      <c r="F18" s="6">
        <v>0</v>
      </c>
      <c r="G18" s="6">
        <v>14.4</v>
      </c>
      <c r="H18" s="6">
        <v>2.2000000000000002</v>
      </c>
      <c r="I18" s="6">
        <v>175</v>
      </c>
      <c r="J18" s="6">
        <v>0.2</v>
      </c>
      <c r="K18" s="6">
        <v>0.6</v>
      </c>
      <c r="L18" s="6">
        <v>131834</v>
      </c>
      <c r="M18" s="7" t="s">
        <v>1049</v>
      </c>
    </row>
    <row r="19" spans="1:13">
      <c r="A19" s="8">
        <v>9</v>
      </c>
      <c r="B19" s="9" t="s">
        <v>617</v>
      </c>
      <c r="C19" s="9">
        <v>8.08</v>
      </c>
      <c r="D19" s="9">
        <v>1</v>
      </c>
      <c r="E19" s="9">
        <v>3</v>
      </c>
      <c r="F19" s="9">
        <v>1</v>
      </c>
      <c r="G19" s="9">
        <v>24</v>
      </c>
      <c r="H19" s="9">
        <v>2.2000000000000002</v>
      </c>
      <c r="I19" s="9">
        <v>87</v>
      </c>
      <c r="J19" s="9">
        <v>0.1</v>
      </c>
      <c r="K19" s="9">
        <v>0.6</v>
      </c>
      <c r="L19" s="9">
        <v>131834</v>
      </c>
      <c r="M19" s="10" t="s">
        <v>1050</v>
      </c>
    </row>
    <row r="20" spans="1:13">
      <c r="A20" s="5">
        <v>10</v>
      </c>
      <c r="B20" s="6" t="s">
        <v>617</v>
      </c>
      <c r="C20" s="6">
        <v>9.09</v>
      </c>
      <c r="D20" s="6">
        <v>0</v>
      </c>
      <c r="E20" s="6">
        <v>3</v>
      </c>
      <c r="F20" s="6">
        <v>0</v>
      </c>
      <c r="G20" s="6">
        <v>24</v>
      </c>
      <c r="H20" s="6">
        <v>2.1</v>
      </c>
      <c r="I20" s="6">
        <v>87</v>
      </c>
      <c r="J20" s="6">
        <v>0.2</v>
      </c>
      <c r="K20" s="6">
        <v>0.7</v>
      </c>
      <c r="L20" s="6">
        <v>131834</v>
      </c>
      <c r="M20" s="7" t="s">
        <v>1051</v>
      </c>
    </row>
    <row r="21" spans="1:13">
      <c r="A21" s="8">
        <v>11</v>
      </c>
      <c r="B21" s="16" t="s">
        <v>843</v>
      </c>
      <c r="C21" s="16">
        <v>10.09</v>
      </c>
      <c r="D21" s="16">
        <v>292</v>
      </c>
      <c r="E21" s="16">
        <v>93</v>
      </c>
      <c r="F21" s="16">
        <v>90</v>
      </c>
      <c r="G21" s="16">
        <v>24</v>
      </c>
      <c r="H21" s="16">
        <v>0.1</v>
      </c>
      <c r="I21" s="16">
        <v>87</v>
      </c>
      <c r="J21" s="16">
        <v>0.2</v>
      </c>
      <c r="K21" s="16">
        <v>0.7</v>
      </c>
      <c r="L21" s="16">
        <v>131834</v>
      </c>
      <c r="M21" s="17" t="s">
        <v>1052</v>
      </c>
    </row>
    <row r="22" spans="1:13">
      <c r="A22" s="5">
        <v>12</v>
      </c>
      <c r="B22" s="6" t="s">
        <v>1053</v>
      </c>
      <c r="C22" s="6">
        <v>11.09</v>
      </c>
      <c r="D22" s="6">
        <v>295</v>
      </c>
      <c r="E22" s="6">
        <v>540</v>
      </c>
      <c r="F22" s="6">
        <v>447</v>
      </c>
      <c r="G22" s="6">
        <v>24</v>
      </c>
      <c r="H22" s="6">
        <v>0.4</v>
      </c>
      <c r="I22" s="6">
        <v>91</v>
      </c>
      <c r="J22" s="6">
        <v>0.1</v>
      </c>
      <c r="K22" s="6">
        <v>0.6</v>
      </c>
      <c r="L22" s="6">
        <v>131834</v>
      </c>
      <c r="M22" s="7" t="s">
        <v>1054</v>
      </c>
    </row>
    <row r="23" spans="1:13">
      <c r="A23" s="8">
        <v>13</v>
      </c>
      <c r="B23" s="9" t="s">
        <v>434</v>
      </c>
      <c r="C23" s="9">
        <v>12.09</v>
      </c>
      <c r="D23" s="9">
        <v>294</v>
      </c>
      <c r="E23" s="9">
        <v>1288</v>
      </c>
      <c r="F23" s="9">
        <v>748</v>
      </c>
      <c r="G23" s="9">
        <v>24</v>
      </c>
      <c r="H23" s="9">
        <v>0.4</v>
      </c>
      <c r="I23" s="9">
        <v>95</v>
      </c>
      <c r="J23" s="9">
        <v>0.2</v>
      </c>
      <c r="K23" s="9">
        <v>0.6</v>
      </c>
      <c r="L23" s="9">
        <v>131834</v>
      </c>
      <c r="M23" s="10" t="s">
        <v>1055</v>
      </c>
    </row>
    <row r="24" spans="1:13">
      <c r="A24" s="5">
        <v>14</v>
      </c>
      <c r="B24" s="6" t="s">
        <v>400</v>
      </c>
      <c r="C24" s="6">
        <v>13.09</v>
      </c>
      <c r="D24" s="6">
        <v>296</v>
      </c>
      <c r="E24" s="6">
        <v>2035</v>
      </c>
      <c r="F24" s="6">
        <v>747</v>
      </c>
      <c r="G24" s="6">
        <v>24</v>
      </c>
      <c r="H24" s="6">
        <v>0.4</v>
      </c>
      <c r="I24" s="6">
        <v>98</v>
      </c>
      <c r="J24" s="6">
        <v>0.1</v>
      </c>
      <c r="K24" s="6">
        <v>0.6</v>
      </c>
      <c r="L24" s="6">
        <v>131834</v>
      </c>
      <c r="M24" s="7" t="s">
        <v>1056</v>
      </c>
    </row>
    <row r="25" spans="1:13">
      <c r="A25" s="8">
        <v>15</v>
      </c>
      <c r="B25" s="9" t="s">
        <v>626</v>
      </c>
      <c r="C25" s="9">
        <v>13.93</v>
      </c>
      <c r="D25" s="9">
        <v>296</v>
      </c>
      <c r="E25" s="9">
        <v>2671</v>
      </c>
      <c r="F25" s="9">
        <v>636</v>
      </c>
      <c r="G25" s="9">
        <v>24</v>
      </c>
      <c r="H25" s="9">
        <v>0.4</v>
      </c>
      <c r="I25" s="9">
        <v>106</v>
      </c>
      <c r="J25" s="9">
        <v>0.2</v>
      </c>
      <c r="K25" s="9">
        <v>0.6</v>
      </c>
      <c r="L25" s="9">
        <v>131834</v>
      </c>
      <c r="M25" s="10" t="s">
        <v>1057</v>
      </c>
    </row>
    <row r="26" spans="1:13">
      <c r="A26" s="5">
        <v>16</v>
      </c>
      <c r="B26" s="6" t="s">
        <v>626</v>
      </c>
      <c r="C26" s="6">
        <v>13.99</v>
      </c>
      <c r="D26" s="6">
        <v>84</v>
      </c>
      <c r="E26" s="6">
        <v>2753</v>
      </c>
      <c r="F26" s="6">
        <v>82</v>
      </c>
      <c r="G26" s="6">
        <v>24</v>
      </c>
      <c r="H26" s="6">
        <v>0</v>
      </c>
      <c r="I26" s="6">
        <v>101</v>
      </c>
      <c r="J26" s="6">
        <v>0.2</v>
      </c>
      <c r="K26" s="6">
        <v>0.6</v>
      </c>
      <c r="L26" s="6">
        <v>131834</v>
      </c>
      <c r="M26" s="7" t="s">
        <v>1058</v>
      </c>
    </row>
    <row r="27" spans="1:13">
      <c r="A27" s="8">
        <v>17</v>
      </c>
      <c r="B27" s="9" t="s">
        <v>631</v>
      </c>
      <c r="C27" s="9">
        <v>12.93</v>
      </c>
      <c r="D27" s="9">
        <v>1</v>
      </c>
      <c r="E27" s="9">
        <v>2757</v>
      </c>
      <c r="F27" s="9">
        <v>4</v>
      </c>
      <c r="G27" s="9">
        <v>24</v>
      </c>
      <c r="H27" s="9">
        <v>1.1000000000000001</v>
      </c>
      <c r="I27" s="9">
        <v>99</v>
      </c>
      <c r="J27" s="9">
        <v>0.2</v>
      </c>
      <c r="K27" s="9">
        <v>0.6</v>
      </c>
      <c r="L27" s="9">
        <v>131834</v>
      </c>
      <c r="M27" s="10" t="s">
        <v>1059</v>
      </c>
    </row>
    <row r="28" spans="1:13">
      <c r="A28" s="5">
        <v>18</v>
      </c>
      <c r="B28" s="6" t="s">
        <v>634</v>
      </c>
      <c r="C28" s="6">
        <v>11.92</v>
      </c>
      <c r="D28" s="6">
        <v>0</v>
      </c>
      <c r="E28" s="6">
        <v>2758</v>
      </c>
      <c r="F28" s="6">
        <v>1</v>
      </c>
      <c r="G28" s="6">
        <v>24</v>
      </c>
      <c r="H28" s="6">
        <v>1.1000000000000001</v>
      </c>
      <c r="I28" s="6">
        <v>92</v>
      </c>
      <c r="J28" s="6">
        <v>0.1</v>
      </c>
      <c r="K28" s="6">
        <v>0.6</v>
      </c>
      <c r="L28" s="6">
        <v>131834</v>
      </c>
      <c r="M28" s="7" t="s">
        <v>1060</v>
      </c>
    </row>
    <row r="29" spans="1:13">
      <c r="A29" s="8">
        <v>19</v>
      </c>
      <c r="B29" s="9" t="s">
        <v>639</v>
      </c>
      <c r="C29" s="9">
        <v>10.92</v>
      </c>
      <c r="D29" s="9">
        <v>1</v>
      </c>
      <c r="E29" s="9">
        <v>2758</v>
      </c>
      <c r="F29" s="9">
        <v>0</v>
      </c>
      <c r="G29" s="9">
        <v>24</v>
      </c>
      <c r="H29" s="9">
        <v>1.1000000000000001</v>
      </c>
      <c r="I29" s="9">
        <v>88</v>
      </c>
      <c r="J29" s="9">
        <v>0.1</v>
      </c>
      <c r="K29" s="9">
        <v>0.6</v>
      </c>
      <c r="L29" s="9">
        <v>131834</v>
      </c>
      <c r="M29" s="10" t="s">
        <v>1061</v>
      </c>
    </row>
    <row r="30" spans="1:13">
      <c r="A30" s="5">
        <v>20</v>
      </c>
      <c r="B30" s="6" t="s">
        <v>349</v>
      </c>
      <c r="C30" s="6">
        <v>9.9</v>
      </c>
      <c r="D30" s="6">
        <v>1</v>
      </c>
      <c r="E30" s="6">
        <v>2759</v>
      </c>
      <c r="F30" s="6">
        <v>1</v>
      </c>
      <c r="G30" s="6">
        <v>24</v>
      </c>
      <c r="H30" s="6">
        <v>2.4</v>
      </c>
      <c r="I30" s="6">
        <v>88</v>
      </c>
      <c r="J30" s="6">
        <v>0.2</v>
      </c>
      <c r="K30" s="6">
        <v>0.6</v>
      </c>
      <c r="L30" s="6">
        <v>131834</v>
      </c>
      <c r="M30" s="7" t="s">
        <v>1062</v>
      </c>
    </row>
    <row r="31" spans="1:13">
      <c r="A31" s="8">
        <v>21</v>
      </c>
      <c r="B31" s="9" t="s">
        <v>349</v>
      </c>
      <c r="C31" s="9">
        <v>8.9</v>
      </c>
      <c r="D31" s="9">
        <v>0</v>
      </c>
      <c r="E31" s="9">
        <v>2759</v>
      </c>
      <c r="F31" s="9">
        <v>0</v>
      </c>
      <c r="G31" s="9">
        <v>24</v>
      </c>
      <c r="H31" s="9">
        <v>2.2999999999999998</v>
      </c>
      <c r="I31" s="9">
        <v>88</v>
      </c>
      <c r="J31" s="9">
        <v>0.2</v>
      </c>
      <c r="K31" s="9">
        <v>0.6</v>
      </c>
      <c r="L31" s="9">
        <v>131834</v>
      </c>
      <c r="M31" s="10" t="s">
        <v>1063</v>
      </c>
    </row>
    <row r="32" spans="1:13">
      <c r="A32" s="5">
        <v>22</v>
      </c>
      <c r="B32" s="6" t="s">
        <v>351</v>
      </c>
      <c r="C32" s="6">
        <v>7.89</v>
      </c>
      <c r="D32" s="6">
        <v>0</v>
      </c>
      <c r="E32" s="6">
        <v>2759</v>
      </c>
      <c r="F32" s="6">
        <v>0</v>
      </c>
      <c r="G32" s="6">
        <v>0</v>
      </c>
      <c r="H32" s="6">
        <v>2.4</v>
      </c>
      <c r="I32" s="6">
        <v>0</v>
      </c>
      <c r="J32" s="6">
        <v>0.1</v>
      </c>
      <c r="K32" s="6">
        <v>0.6</v>
      </c>
      <c r="L32" s="6">
        <v>131834</v>
      </c>
      <c r="M32" s="7" t="s">
        <v>1064</v>
      </c>
    </row>
    <row r="33" spans="1:13">
      <c r="A33" s="8">
        <v>23</v>
      </c>
      <c r="B33" s="9" t="s">
        <v>351</v>
      </c>
      <c r="C33" s="9">
        <v>6.88</v>
      </c>
      <c r="D33" s="9">
        <v>1</v>
      </c>
      <c r="E33" s="9">
        <v>2760</v>
      </c>
      <c r="F33" s="9">
        <v>1</v>
      </c>
      <c r="G33" s="9">
        <v>0</v>
      </c>
      <c r="H33" s="9">
        <v>2.2999999999999998</v>
      </c>
      <c r="I33" s="9">
        <v>0</v>
      </c>
      <c r="J33" s="9">
        <v>0.2</v>
      </c>
      <c r="K33" s="9">
        <v>0.6</v>
      </c>
      <c r="L33" s="9">
        <v>131834</v>
      </c>
      <c r="M33" s="10" t="s">
        <v>1065</v>
      </c>
    </row>
    <row r="34" spans="1:13">
      <c r="A34" s="5">
        <v>24</v>
      </c>
      <c r="B34" s="6" t="s">
        <v>357</v>
      </c>
      <c r="C34" s="6">
        <v>5.86</v>
      </c>
      <c r="D34" s="6">
        <v>0</v>
      </c>
      <c r="E34" s="6">
        <v>2760</v>
      </c>
      <c r="F34" s="6">
        <v>0</v>
      </c>
      <c r="G34" s="6">
        <v>0</v>
      </c>
      <c r="H34" s="6">
        <v>2.4</v>
      </c>
      <c r="I34" s="6">
        <v>0</v>
      </c>
      <c r="J34" s="6">
        <v>0.1</v>
      </c>
      <c r="K34" s="6">
        <v>0.6</v>
      </c>
      <c r="L34" s="6">
        <v>131834</v>
      </c>
      <c r="M34" s="7" t="s">
        <v>1066</v>
      </c>
    </row>
    <row r="35" spans="1:13">
      <c r="A35" s="8">
        <v>25</v>
      </c>
      <c r="B35" s="9" t="s">
        <v>357</v>
      </c>
      <c r="C35" s="9">
        <v>4.8499999999999996</v>
      </c>
      <c r="D35" s="9">
        <v>0</v>
      </c>
      <c r="E35" s="9">
        <v>2760</v>
      </c>
      <c r="F35" s="9">
        <v>0</v>
      </c>
      <c r="G35" s="9">
        <v>0</v>
      </c>
      <c r="H35" s="9">
        <v>2.2999999999999998</v>
      </c>
      <c r="I35" s="9">
        <v>0</v>
      </c>
      <c r="J35" s="9">
        <v>0.1</v>
      </c>
      <c r="K35" s="9">
        <v>0.6</v>
      </c>
      <c r="L35" s="9">
        <v>131834</v>
      </c>
      <c r="M35" s="10" t="s">
        <v>1067</v>
      </c>
    </row>
    <row r="36" spans="1:13">
      <c r="A36" s="5">
        <v>26</v>
      </c>
      <c r="B36" s="6" t="s">
        <v>357</v>
      </c>
      <c r="C36" s="6">
        <v>3.84</v>
      </c>
      <c r="D36" s="6">
        <v>1</v>
      </c>
      <c r="E36" s="6">
        <v>2760</v>
      </c>
      <c r="F36" s="6">
        <v>0</v>
      </c>
      <c r="G36" s="6">
        <v>0</v>
      </c>
      <c r="H36" s="6">
        <v>2.2999999999999998</v>
      </c>
      <c r="I36" s="6">
        <v>0</v>
      </c>
      <c r="J36" s="6">
        <v>0.1</v>
      </c>
      <c r="K36" s="6">
        <v>0.6</v>
      </c>
      <c r="L36" s="6">
        <v>131834</v>
      </c>
      <c r="M36" s="7" t="s">
        <v>1068</v>
      </c>
    </row>
    <row r="37" spans="1:13">
      <c r="A37" s="8">
        <v>27</v>
      </c>
      <c r="B37" s="9" t="s">
        <v>362</v>
      </c>
      <c r="C37" s="9">
        <v>2.84</v>
      </c>
      <c r="D37" s="9">
        <v>0</v>
      </c>
      <c r="E37" s="9">
        <v>2761</v>
      </c>
      <c r="F37" s="9">
        <v>1</v>
      </c>
      <c r="G37" s="9">
        <v>0</v>
      </c>
      <c r="H37" s="9">
        <v>2.4</v>
      </c>
      <c r="I37" s="9">
        <v>0</v>
      </c>
      <c r="J37" s="9">
        <v>0.2</v>
      </c>
      <c r="K37" s="9">
        <v>0.6</v>
      </c>
      <c r="L37" s="9">
        <v>131834</v>
      </c>
      <c r="M37" s="10" t="s">
        <v>1069</v>
      </c>
    </row>
    <row r="38" spans="1:13">
      <c r="A38" s="5">
        <v>28</v>
      </c>
      <c r="B38" s="6" t="s">
        <v>362</v>
      </c>
      <c r="C38" s="6">
        <v>1.84</v>
      </c>
      <c r="D38" s="6">
        <v>1</v>
      </c>
      <c r="E38" s="6">
        <v>2761</v>
      </c>
      <c r="F38" s="6">
        <v>0</v>
      </c>
      <c r="G38" s="6">
        <v>0</v>
      </c>
      <c r="H38" s="6">
        <v>2.4</v>
      </c>
      <c r="I38" s="6">
        <v>0</v>
      </c>
      <c r="J38" s="6">
        <v>0.1</v>
      </c>
      <c r="K38" s="6">
        <v>0.6</v>
      </c>
      <c r="L38" s="6">
        <v>131834</v>
      </c>
      <c r="M38" s="7" t="s">
        <v>1070</v>
      </c>
    </row>
    <row r="39" spans="1:13">
      <c r="A39" s="11">
        <v>29</v>
      </c>
      <c r="B39" s="12" t="s">
        <v>1041</v>
      </c>
      <c r="C39" s="12">
        <v>0.84</v>
      </c>
      <c r="D39" s="12">
        <v>1</v>
      </c>
      <c r="E39" s="12">
        <v>2761</v>
      </c>
      <c r="F39" s="12">
        <v>0</v>
      </c>
      <c r="G39" s="12">
        <v>0</v>
      </c>
      <c r="H39" s="12">
        <v>2.2999999999999998</v>
      </c>
      <c r="I39" s="12">
        <v>0</v>
      </c>
      <c r="J39" s="12">
        <v>0.2</v>
      </c>
      <c r="K39" s="12">
        <v>0.6</v>
      </c>
      <c r="L39" s="12">
        <v>131834</v>
      </c>
      <c r="M39" s="13" t="s">
        <v>1071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E231-15F5-4528-8C89-F8641095A9FD}">
  <dimension ref="A1:P38"/>
  <sheetViews>
    <sheetView zoomScale="70" zoomScaleNormal="70" workbookViewId="0">
      <selection activeCell="Q23" sqref="Q23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1005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346</v>
      </c>
      <c r="C4" s="6" t="s">
        <v>13</v>
      </c>
      <c r="D4" s="6" t="s">
        <v>13</v>
      </c>
      <c r="E4" s="6" t="s">
        <v>19</v>
      </c>
      <c r="F4" s="6" t="s">
        <v>791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1006</v>
      </c>
      <c r="C5" s="9" t="s">
        <v>13</v>
      </c>
      <c r="D5" s="9" t="s">
        <v>13</v>
      </c>
      <c r="E5" s="9" t="s">
        <v>22</v>
      </c>
      <c r="F5" s="9" t="s">
        <v>1007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378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1008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O10" s="22" t="s">
        <v>124</v>
      </c>
      <c r="P10">
        <v>10.83</v>
      </c>
    </row>
    <row r="11" spans="1:16">
      <c r="A11" s="8">
        <v>1</v>
      </c>
      <c r="B11" s="9" t="s">
        <v>380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121834</v>
      </c>
      <c r="M11" s="10" t="s">
        <v>1009</v>
      </c>
      <c r="O11" s="23" t="s">
        <v>127</v>
      </c>
      <c r="P11">
        <f>SUM(F22:F26)</f>
        <v>2511</v>
      </c>
    </row>
    <row r="12" spans="1:16">
      <c r="A12" s="5">
        <v>2</v>
      </c>
      <c r="B12" s="6" t="s">
        <v>380</v>
      </c>
      <c r="C12" s="6">
        <v>1</v>
      </c>
      <c r="D12" s="6">
        <v>0</v>
      </c>
      <c r="E12" s="6">
        <v>1</v>
      </c>
      <c r="F12" s="6">
        <v>1</v>
      </c>
      <c r="G12" s="6">
        <v>0</v>
      </c>
      <c r="H12" s="6">
        <v>2.1</v>
      </c>
      <c r="I12" s="6">
        <v>0</v>
      </c>
      <c r="J12" s="6">
        <v>0.1</v>
      </c>
      <c r="K12" s="6">
        <v>0.4</v>
      </c>
      <c r="L12" s="6">
        <v>121834</v>
      </c>
      <c r="M12" s="7" t="s">
        <v>1009</v>
      </c>
      <c r="O12" s="23" t="s">
        <v>125</v>
      </c>
      <c r="P12">
        <f>AVERAGE(H21:H25)</f>
        <v>0.67999999999999994</v>
      </c>
    </row>
    <row r="13" spans="1:16">
      <c r="A13" s="8">
        <v>3</v>
      </c>
      <c r="B13" s="9" t="s">
        <v>380</v>
      </c>
      <c r="C13" s="9">
        <v>2</v>
      </c>
      <c r="D13" s="9">
        <v>1</v>
      </c>
      <c r="E13" s="9">
        <v>1</v>
      </c>
      <c r="F13" s="9">
        <v>0</v>
      </c>
      <c r="G13" s="9">
        <v>0</v>
      </c>
      <c r="H13" s="9">
        <v>2.2000000000000002</v>
      </c>
      <c r="I13" s="9">
        <v>0</v>
      </c>
      <c r="J13" s="9">
        <v>0.1</v>
      </c>
      <c r="K13" s="9">
        <v>0.5</v>
      </c>
      <c r="L13" s="9">
        <v>121834</v>
      </c>
      <c r="M13" s="10" t="s">
        <v>1010</v>
      </c>
      <c r="O13" s="23" t="s">
        <v>126</v>
      </c>
      <c r="P13">
        <f>AVERAGE(H26:H28)</f>
        <v>1</v>
      </c>
    </row>
    <row r="14" spans="1:16">
      <c r="A14" s="5">
        <v>4</v>
      </c>
      <c r="B14" s="6" t="s">
        <v>382</v>
      </c>
      <c r="C14" s="6">
        <v>3.02</v>
      </c>
      <c r="D14" s="6">
        <v>0</v>
      </c>
      <c r="E14" s="6">
        <v>1</v>
      </c>
      <c r="F14" s="6">
        <v>0</v>
      </c>
      <c r="G14" s="6">
        <v>0</v>
      </c>
      <c r="H14" s="6">
        <v>2.1</v>
      </c>
      <c r="I14" s="6">
        <v>0</v>
      </c>
      <c r="J14" s="6">
        <v>0</v>
      </c>
      <c r="K14" s="6">
        <v>0.5</v>
      </c>
      <c r="L14" s="6">
        <v>121834</v>
      </c>
      <c r="M14" s="7" t="s">
        <v>1011</v>
      </c>
    </row>
    <row r="15" spans="1:16">
      <c r="A15" s="8">
        <v>5</v>
      </c>
      <c r="B15" s="9" t="s">
        <v>382</v>
      </c>
      <c r="C15" s="9">
        <v>4.03</v>
      </c>
      <c r="D15" s="9">
        <v>1</v>
      </c>
      <c r="E15" s="9">
        <v>1</v>
      </c>
      <c r="F15" s="9">
        <v>0</v>
      </c>
      <c r="G15" s="9">
        <v>0</v>
      </c>
      <c r="H15" s="9">
        <v>2</v>
      </c>
      <c r="I15" s="9">
        <v>0</v>
      </c>
      <c r="J15" s="9">
        <v>0.1</v>
      </c>
      <c r="K15" s="9">
        <v>0.4</v>
      </c>
      <c r="L15" s="9">
        <v>121834</v>
      </c>
      <c r="M15" s="10" t="s">
        <v>1012</v>
      </c>
    </row>
    <row r="16" spans="1:16">
      <c r="A16" s="5">
        <v>6</v>
      </c>
      <c r="B16" s="6" t="s">
        <v>385</v>
      </c>
      <c r="C16" s="6">
        <v>5.04</v>
      </c>
      <c r="D16" s="6">
        <v>1</v>
      </c>
      <c r="E16" s="6">
        <v>2</v>
      </c>
      <c r="F16" s="6">
        <v>1</v>
      </c>
      <c r="G16" s="6">
        <v>0</v>
      </c>
      <c r="H16" s="6">
        <v>2</v>
      </c>
      <c r="I16" s="6">
        <v>0</v>
      </c>
      <c r="J16" s="6">
        <v>0.1</v>
      </c>
      <c r="K16" s="6">
        <v>0.6</v>
      </c>
      <c r="L16" s="6">
        <v>121834</v>
      </c>
      <c r="M16" s="7" t="s">
        <v>1013</v>
      </c>
    </row>
    <row r="17" spans="1:13">
      <c r="A17" s="8">
        <v>7</v>
      </c>
      <c r="B17" s="9" t="s">
        <v>385</v>
      </c>
      <c r="C17" s="9">
        <v>6.05</v>
      </c>
      <c r="D17" s="9">
        <v>1</v>
      </c>
      <c r="E17" s="9">
        <v>2</v>
      </c>
      <c r="F17" s="9">
        <v>0</v>
      </c>
      <c r="G17" s="9">
        <v>0</v>
      </c>
      <c r="H17" s="9">
        <v>2</v>
      </c>
      <c r="I17" s="9">
        <v>0</v>
      </c>
      <c r="J17" s="9">
        <v>0.1</v>
      </c>
      <c r="K17" s="9">
        <v>0.4</v>
      </c>
      <c r="L17" s="9">
        <v>121834</v>
      </c>
      <c r="M17" s="10" t="s">
        <v>1014</v>
      </c>
    </row>
    <row r="18" spans="1:13">
      <c r="A18" s="5">
        <v>8</v>
      </c>
      <c r="B18" s="6" t="s">
        <v>389</v>
      </c>
      <c r="C18" s="6">
        <v>7.05</v>
      </c>
      <c r="D18" s="6">
        <v>0</v>
      </c>
      <c r="E18" s="6">
        <v>2</v>
      </c>
      <c r="F18" s="6">
        <v>0</v>
      </c>
      <c r="G18" s="6">
        <v>24</v>
      </c>
      <c r="H18" s="6">
        <v>2</v>
      </c>
      <c r="I18" s="6">
        <v>89</v>
      </c>
      <c r="J18" s="6">
        <v>0</v>
      </c>
      <c r="K18" s="6">
        <v>0.5</v>
      </c>
      <c r="L18" s="6">
        <v>121834</v>
      </c>
      <c r="M18" s="7" t="s">
        <v>391</v>
      </c>
    </row>
    <row r="19" spans="1:13">
      <c r="A19" s="8">
        <v>9</v>
      </c>
      <c r="B19" s="9" t="s">
        <v>389</v>
      </c>
      <c r="C19" s="9">
        <v>8.0500000000000007</v>
      </c>
      <c r="D19" s="9">
        <v>0</v>
      </c>
      <c r="E19" s="9">
        <v>3</v>
      </c>
      <c r="F19" s="9">
        <v>1</v>
      </c>
      <c r="G19" s="9">
        <v>24</v>
      </c>
      <c r="H19" s="9">
        <v>2.1</v>
      </c>
      <c r="I19" s="9">
        <v>88</v>
      </c>
      <c r="J19" s="9">
        <v>0.1</v>
      </c>
      <c r="K19" s="9">
        <v>0.5</v>
      </c>
      <c r="L19" s="9">
        <v>121834</v>
      </c>
      <c r="M19" s="10" t="s">
        <v>1015</v>
      </c>
    </row>
    <row r="20" spans="1:13">
      <c r="A20" s="5">
        <v>10</v>
      </c>
      <c r="B20" s="6" t="s">
        <v>350</v>
      </c>
      <c r="C20" s="6">
        <v>9.0500000000000007</v>
      </c>
      <c r="D20" s="6">
        <v>1</v>
      </c>
      <c r="E20" s="6">
        <v>3</v>
      </c>
      <c r="F20" s="6">
        <v>0</v>
      </c>
      <c r="G20" s="6">
        <v>24</v>
      </c>
      <c r="H20" s="6">
        <v>1.9</v>
      </c>
      <c r="I20" s="6">
        <v>87</v>
      </c>
      <c r="J20" s="6">
        <v>0</v>
      </c>
      <c r="K20" s="6">
        <v>0.5</v>
      </c>
      <c r="L20" s="6">
        <v>121834</v>
      </c>
      <c r="M20" s="7" t="s">
        <v>1016</v>
      </c>
    </row>
    <row r="21" spans="1:13">
      <c r="A21" s="15">
        <v>11</v>
      </c>
      <c r="B21" s="16" t="s">
        <v>350</v>
      </c>
      <c r="C21" s="16">
        <v>10.050000000000001</v>
      </c>
      <c r="D21" s="16">
        <v>1</v>
      </c>
      <c r="E21" s="16">
        <v>3</v>
      </c>
      <c r="F21" s="16">
        <v>0</v>
      </c>
      <c r="G21" s="16">
        <v>24</v>
      </c>
      <c r="H21" s="16">
        <v>1.8</v>
      </c>
      <c r="I21" s="16">
        <v>88</v>
      </c>
      <c r="J21" s="16">
        <v>0.1</v>
      </c>
      <c r="K21" s="16">
        <v>0.5</v>
      </c>
      <c r="L21" s="16">
        <v>121834</v>
      </c>
      <c r="M21" s="17" t="s">
        <v>1017</v>
      </c>
    </row>
    <row r="22" spans="1:13">
      <c r="A22" s="5">
        <v>12</v>
      </c>
      <c r="B22" s="6" t="s">
        <v>577</v>
      </c>
      <c r="C22" s="6">
        <v>11.05</v>
      </c>
      <c r="D22" s="6">
        <v>301</v>
      </c>
      <c r="E22" s="6">
        <v>330</v>
      </c>
      <c r="F22" s="6">
        <v>327</v>
      </c>
      <c r="G22" s="6">
        <v>24</v>
      </c>
      <c r="H22" s="6">
        <v>0.4</v>
      </c>
      <c r="I22" s="6">
        <v>89</v>
      </c>
      <c r="J22" s="6">
        <v>0.1</v>
      </c>
      <c r="K22" s="6">
        <v>0.5</v>
      </c>
      <c r="L22" s="6">
        <v>121834</v>
      </c>
      <c r="M22" s="7" t="s">
        <v>1018</v>
      </c>
    </row>
    <row r="23" spans="1:13">
      <c r="A23" s="8">
        <v>13</v>
      </c>
      <c r="B23" s="9" t="s">
        <v>579</v>
      </c>
      <c r="C23" s="9">
        <v>12.05</v>
      </c>
      <c r="D23" s="9">
        <v>293</v>
      </c>
      <c r="E23" s="9">
        <v>1099</v>
      </c>
      <c r="F23" s="9">
        <v>769</v>
      </c>
      <c r="G23" s="9">
        <v>24</v>
      </c>
      <c r="H23" s="9">
        <v>0.4</v>
      </c>
      <c r="I23" s="9">
        <v>92</v>
      </c>
      <c r="J23" s="9">
        <v>0</v>
      </c>
      <c r="K23" s="9">
        <v>0.4</v>
      </c>
      <c r="L23" s="9">
        <v>121834</v>
      </c>
      <c r="M23" s="10" t="s">
        <v>1019</v>
      </c>
    </row>
    <row r="24" spans="1:13">
      <c r="A24" s="5">
        <v>14</v>
      </c>
      <c r="B24" s="6" t="s">
        <v>303</v>
      </c>
      <c r="C24" s="6">
        <v>13.05</v>
      </c>
      <c r="D24" s="6">
        <v>297</v>
      </c>
      <c r="E24" s="6">
        <v>1822</v>
      </c>
      <c r="F24" s="6">
        <v>723</v>
      </c>
      <c r="G24" s="6">
        <v>24</v>
      </c>
      <c r="H24" s="6">
        <v>0.4</v>
      </c>
      <c r="I24" s="6">
        <v>96</v>
      </c>
      <c r="J24" s="6">
        <v>0.1</v>
      </c>
      <c r="K24" s="6">
        <v>0.6</v>
      </c>
      <c r="L24" s="6">
        <v>121834</v>
      </c>
      <c r="M24" s="7" t="s">
        <v>1020</v>
      </c>
    </row>
    <row r="25" spans="1:13">
      <c r="A25" s="8">
        <v>15</v>
      </c>
      <c r="B25" s="9" t="s">
        <v>312</v>
      </c>
      <c r="C25" s="9">
        <v>13.83</v>
      </c>
      <c r="D25" s="9">
        <v>299</v>
      </c>
      <c r="E25" s="9">
        <v>2393</v>
      </c>
      <c r="F25" s="9">
        <v>571</v>
      </c>
      <c r="G25" s="9">
        <v>24</v>
      </c>
      <c r="H25" s="9">
        <v>0.4</v>
      </c>
      <c r="I25" s="9">
        <v>100</v>
      </c>
      <c r="J25" s="9">
        <v>-0.1</v>
      </c>
      <c r="K25" s="9">
        <v>0.5</v>
      </c>
      <c r="L25" s="9">
        <v>121834</v>
      </c>
      <c r="M25" s="10" t="s">
        <v>1021</v>
      </c>
    </row>
    <row r="26" spans="1:13">
      <c r="A26" s="5">
        <v>16</v>
      </c>
      <c r="B26" s="6" t="s">
        <v>589</v>
      </c>
      <c r="C26" s="6">
        <v>12.83</v>
      </c>
      <c r="D26" s="6">
        <v>11</v>
      </c>
      <c r="E26" s="6">
        <v>2514</v>
      </c>
      <c r="F26" s="6">
        <v>121</v>
      </c>
      <c r="G26" s="6">
        <v>24</v>
      </c>
      <c r="H26" s="6">
        <v>1</v>
      </c>
      <c r="I26" s="6">
        <v>92</v>
      </c>
      <c r="J26" s="6">
        <v>0.1</v>
      </c>
      <c r="K26" s="6">
        <v>0.5</v>
      </c>
      <c r="L26" s="6">
        <v>121834</v>
      </c>
      <c r="M26" s="7" t="s">
        <v>1022</v>
      </c>
    </row>
    <row r="27" spans="1:13">
      <c r="A27" s="8">
        <v>17</v>
      </c>
      <c r="B27" s="9" t="s">
        <v>593</v>
      </c>
      <c r="C27" s="9">
        <v>11.83</v>
      </c>
      <c r="D27" s="9">
        <v>1</v>
      </c>
      <c r="E27" s="9">
        <v>2515</v>
      </c>
      <c r="F27" s="9">
        <v>1</v>
      </c>
      <c r="G27" s="9">
        <v>24</v>
      </c>
      <c r="H27" s="9">
        <v>1</v>
      </c>
      <c r="I27" s="9">
        <v>89</v>
      </c>
      <c r="J27" s="9">
        <v>0.1</v>
      </c>
      <c r="K27" s="9">
        <v>0.5</v>
      </c>
      <c r="L27" s="9">
        <v>121834</v>
      </c>
      <c r="M27" s="10" t="s">
        <v>1023</v>
      </c>
    </row>
    <row r="28" spans="1:13">
      <c r="A28" s="5">
        <v>18</v>
      </c>
      <c r="B28" s="6" t="s">
        <v>318</v>
      </c>
      <c r="C28" s="6">
        <v>10.83</v>
      </c>
      <c r="D28" s="6">
        <v>1</v>
      </c>
      <c r="E28" s="6">
        <v>2515</v>
      </c>
      <c r="F28" s="6">
        <v>0</v>
      </c>
      <c r="G28" s="6">
        <v>24</v>
      </c>
      <c r="H28" s="6">
        <v>1</v>
      </c>
      <c r="I28" s="6">
        <v>87</v>
      </c>
      <c r="J28" s="6">
        <v>0.2</v>
      </c>
      <c r="K28" s="6">
        <v>0.5</v>
      </c>
      <c r="L28" s="6">
        <v>121834</v>
      </c>
      <c r="M28" s="7" t="s">
        <v>1024</v>
      </c>
    </row>
    <row r="29" spans="1:13">
      <c r="A29" s="8">
        <v>19</v>
      </c>
      <c r="B29" s="9" t="s">
        <v>564</v>
      </c>
      <c r="C29" s="9">
        <v>9.82</v>
      </c>
      <c r="D29" s="9">
        <v>1</v>
      </c>
      <c r="E29" s="9">
        <v>2516</v>
      </c>
      <c r="F29" s="9">
        <v>1</v>
      </c>
      <c r="G29" s="9">
        <v>24</v>
      </c>
      <c r="H29" s="9">
        <v>1.5</v>
      </c>
      <c r="I29" s="9">
        <v>88</v>
      </c>
      <c r="J29" s="9">
        <v>0.2</v>
      </c>
      <c r="K29" s="9">
        <v>0.4</v>
      </c>
      <c r="L29" s="9">
        <v>121834</v>
      </c>
      <c r="M29" s="10" t="s">
        <v>1025</v>
      </c>
    </row>
    <row r="30" spans="1:13">
      <c r="A30" s="5">
        <v>20</v>
      </c>
      <c r="B30" s="6" t="s">
        <v>564</v>
      </c>
      <c r="C30" s="6">
        <v>8.8000000000000007</v>
      </c>
      <c r="D30" s="6">
        <v>0</v>
      </c>
      <c r="E30" s="6">
        <v>2516</v>
      </c>
      <c r="F30" s="6">
        <v>0</v>
      </c>
      <c r="G30" s="6">
        <v>24</v>
      </c>
      <c r="H30" s="6">
        <v>2.8</v>
      </c>
      <c r="I30" s="6">
        <v>88</v>
      </c>
      <c r="J30" s="6">
        <v>0.1</v>
      </c>
      <c r="K30" s="6">
        <v>0.5</v>
      </c>
      <c r="L30" s="6">
        <v>121834</v>
      </c>
      <c r="M30" s="7" t="s">
        <v>1026</v>
      </c>
    </row>
    <row r="31" spans="1:13">
      <c r="A31" s="8">
        <v>21</v>
      </c>
      <c r="B31" s="9" t="s">
        <v>320</v>
      </c>
      <c r="C31" s="9">
        <v>7.79</v>
      </c>
      <c r="D31" s="9">
        <v>0</v>
      </c>
      <c r="E31" s="9">
        <v>2516</v>
      </c>
      <c r="F31" s="9">
        <v>0</v>
      </c>
      <c r="G31" s="9">
        <v>24</v>
      </c>
      <c r="H31" s="9">
        <v>2.6</v>
      </c>
      <c r="I31" s="9">
        <v>88</v>
      </c>
      <c r="J31" s="9">
        <v>0.1</v>
      </c>
      <c r="K31" s="9">
        <v>0.4</v>
      </c>
      <c r="L31" s="9">
        <v>121834</v>
      </c>
      <c r="M31" s="10" t="s">
        <v>1027</v>
      </c>
    </row>
    <row r="32" spans="1:13">
      <c r="A32" s="5">
        <v>22</v>
      </c>
      <c r="B32" s="6" t="s">
        <v>320</v>
      </c>
      <c r="C32" s="6">
        <v>6.79</v>
      </c>
      <c r="D32" s="6">
        <v>1</v>
      </c>
      <c r="E32" s="6">
        <v>2516</v>
      </c>
      <c r="F32" s="6">
        <v>0</v>
      </c>
      <c r="G32" s="6">
        <v>24</v>
      </c>
      <c r="H32" s="6">
        <v>2.7</v>
      </c>
      <c r="I32" s="6">
        <v>88</v>
      </c>
      <c r="J32" s="6">
        <v>0</v>
      </c>
      <c r="K32" s="6">
        <v>0.4</v>
      </c>
      <c r="L32" s="6">
        <v>121834</v>
      </c>
      <c r="M32" s="7" t="s">
        <v>1028</v>
      </c>
    </row>
    <row r="33" spans="1:13">
      <c r="A33" s="8">
        <v>23</v>
      </c>
      <c r="B33" s="9" t="s">
        <v>320</v>
      </c>
      <c r="C33" s="9">
        <v>5.77</v>
      </c>
      <c r="D33" s="9">
        <v>1</v>
      </c>
      <c r="E33" s="9">
        <v>2517</v>
      </c>
      <c r="F33" s="9">
        <v>1</v>
      </c>
      <c r="G33" s="9">
        <v>0</v>
      </c>
      <c r="H33" s="9">
        <v>2.6</v>
      </c>
      <c r="I33" s="9">
        <v>0</v>
      </c>
      <c r="J33" s="9">
        <v>0.1</v>
      </c>
      <c r="K33" s="9">
        <v>0.4</v>
      </c>
      <c r="L33" s="9">
        <v>121834</v>
      </c>
      <c r="M33" s="10" t="s">
        <v>1029</v>
      </c>
    </row>
    <row r="34" spans="1:13">
      <c r="A34" s="5">
        <v>24</v>
      </c>
      <c r="B34" s="6" t="s">
        <v>1030</v>
      </c>
      <c r="C34" s="6">
        <v>4.7699999999999996</v>
      </c>
      <c r="D34" s="6">
        <v>12</v>
      </c>
      <c r="E34" s="6">
        <v>2518</v>
      </c>
      <c r="F34" s="6">
        <v>1</v>
      </c>
      <c r="G34" s="6">
        <v>0</v>
      </c>
      <c r="H34" s="6">
        <v>2.6</v>
      </c>
      <c r="I34" s="6">
        <v>0</v>
      </c>
      <c r="J34" s="6">
        <v>0.1</v>
      </c>
      <c r="K34" s="6">
        <v>0.4</v>
      </c>
      <c r="L34" s="6">
        <v>121834</v>
      </c>
      <c r="M34" s="7" t="s">
        <v>1031</v>
      </c>
    </row>
    <row r="35" spans="1:13">
      <c r="A35" s="8">
        <v>25</v>
      </c>
      <c r="B35" s="9" t="s">
        <v>1030</v>
      </c>
      <c r="C35" s="9">
        <v>3.76</v>
      </c>
      <c r="D35" s="9">
        <v>1</v>
      </c>
      <c r="E35" s="9">
        <v>2520</v>
      </c>
      <c r="F35" s="9">
        <v>2</v>
      </c>
      <c r="G35" s="9">
        <v>0</v>
      </c>
      <c r="H35" s="9">
        <v>2.7</v>
      </c>
      <c r="I35" s="9">
        <v>0</v>
      </c>
      <c r="J35" s="9">
        <v>0.1</v>
      </c>
      <c r="K35" s="9">
        <v>0.5</v>
      </c>
      <c r="L35" s="9">
        <v>121834</v>
      </c>
      <c r="M35" s="10" t="s">
        <v>1032</v>
      </c>
    </row>
    <row r="36" spans="1:13">
      <c r="A36" s="5">
        <v>26</v>
      </c>
      <c r="B36" s="6" t="s">
        <v>322</v>
      </c>
      <c r="C36" s="6">
        <v>2.76</v>
      </c>
      <c r="D36" s="6">
        <v>0</v>
      </c>
      <c r="E36" s="6">
        <v>2520</v>
      </c>
      <c r="F36" s="6">
        <v>0</v>
      </c>
      <c r="G36" s="6">
        <v>0</v>
      </c>
      <c r="H36" s="6">
        <v>2.6</v>
      </c>
      <c r="I36" s="6">
        <v>0</v>
      </c>
      <c r="J36" s="6">
        <v>0.1</v>
      </c>
      <c r="K36" s="6">
        <v>0.4</v>
      </c>
      <c r="L36" s="6">
        <v>121834</v>
      </c>
      <c r="M36" s="7" t="s">
        <v>1033</v>
      </c>
    </row>
    <row r="37" spans="1:13">
      <c r="A37" s="8">
        <v>27</v>
      </c>
      <c r="B37" s="9" t="s">
        <v>322</v>
      </c>
      <c r="C37" s="9">
        <v>1.76</v>
      </c>
      <c r="D37" s="9">
        <v>0</v>
      </c>
      <c r="E37" s="9">
        <v>2520</v>
      </c>
      <c r="F37" s="9">
        <v>0</v>
      </c>
      <c r="G37" s="9">
        <v>0</v>
      </c>
      <c r="H37" s="9">
        <v>2.7</v>
      </c>
      <c r="I37" s="9">
        <v>0</v>
      </c>
      <c r="J37" s="9">
        <v>0.1</v>
      </c>
      <c r="K37" s="9">
        <v>0.4</v>
      </c>
      <c r="L37" s="9">
        <v>121834</v>
      </c>
      <c r="M37" s="10" t="s">
        <v>1034</v>
      </c>
    </row>
    <row r="38" spans="1:13">
      <c r="A38" s="19">
        <v>28</v>
      </c>
      <c r="B38" s="20" t="s">
        <v>322</v>
      </c>
      <c r="C38" s="20">
        <v>0.75</v>
      </c>
      <c r="D38" s="20">
        <v>0</v>
      </c>
      <c r="E38" s="20">
        <v>2521</v>
      </c>
      <c r="F38" s="20">
        <v>0</v>
      </c>
      <c r="G38" s="20">
        <v>0</v>
      </c>
      <c r="H38" s="20">
        <v>2.7</v>
      </c>
      <c r="I38" s="20">
        <v>0</v>
      </c>
      <c r="J38" s="20">
        <v>0</v>
      </c>
      <c r="K38" s="20">
        <v>0.5</v>
      </c>
      <c r="L38" s="20">
        <v>121834</v>
      </c>
      <c r="M38" s="21" t="s">
        <v>1035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078C-700B-4AF2-8C3A-5C9CB069F0D1}">
  <dimension ref="A1:P39"/>
  <sheetViews>
    <sheetView zoomScale="70" zoomScaleNormal="70" workbookViewId="0">
      <selection activeCell="O15" sqref="O15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972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346</v>
      </c>
      <c r="C4" s="6" t="s">
        <v>13</v>
      </c>
      <c r="D4" s="6" t="s">
        <v>13</v>
      </c>
      <c r="E4" s="6" t="s">
        <v>19</v>
      </c>
      <c r="F4" s="6" t="s">
        <v>346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973</v>
      </c>
      <c r="C5" s="9" t="s">
        <v>13</v>
      </c>
      <c r="D5" s="9" t="s">
        <v>13</v>
      </c>
      <c r="E5" s="9" t="s">
        <v>22</v>
      </c>
      <c r="F5" s="9" t="s">
        <v>974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759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287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O10" s="22" t="s">
        <v>124</v>
      </c>
      <c r="P10">
        <v>10.83</v>
      </c>
    </row>
    <row r="11" spans="1:16">
      <c r="A11" s="8">
        <v>1</v>
      </c>
      <c r="B11" s="9" t="s">
        <v>762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111834</v>
      </c>
      <c r="M11" s="10" t="s">
        <v>975</v>
      </c>
      <c r="O11" s="23" t="s">
        <v>127</v>
      </c>
      <c r="P11">
        <f>SUM(F21:F26)</f>
        <v>2393</v>
      </c>
    </row>
    <row r="12" spans="1:16">
      <c r="A12" s="5">
        <v>2</v>
      </c>
      <c r="B12" s="6" t="s">
        <v>762</v>
      </c>
      <c r="C12" s="6">
        <v>1.01</v>
      </c>
      <c r="D12" s="6">
        <v>1</v>
      </c>
      <c r="E12" s="6">
        <v>1</v>
      </c>
      <c r="F12" s="6">
        <v>1</v>
      </c>
      <c r="G12" s="6">
        <v>0</v>
      </c>
      <c r="H12" s="6">
        <v>2</v>
      </c>
      <c r="I12" s="6">
        <v>0</v>
      </c>
      <c r="J12" s="6">
        <v>-0.1</v>
      </c>
      <c r="K12" s="6">
        <v>0.6</v>
      </c>
      <c r="L12" s="6">
        <v>111834</v>
      </c>
      <c r="M12" s="7" t="s">
        <v>975</v>
      </c>
      <c r="O12" s="23" t="s">
        <v>125</v>
      </c>
      <c r="P12">
        <f>AVERAGE(H21:H25)</f>
        <v>0.7</v>
      </c>
    </row>
    <row r="13" spans="1:16">
      <c r="A13" s="8">
        <v>3</v>
      </c>
      <c r="B13" s="9" t="s">
        <v>762</v>
      </c>
      <c r="C13" s="9">
        <v>2.0099999999999998</v>
      </c>
      <c r="D13" s="9">
        <v>0</v>
      </c>
      <c r="E13" s="9">
        <v>1</v>
      </c>
      <c r="F13" s="9">
        <v>0</v>
      </c>
      <c r="G13" s="9">
        <v>0</v>
      </c>
      <c r="H13" s="9">
        <v>2.1</v>
      </c>
      <c r="I13" s="9">
        <v>0</v>
      </c>
      <c r="J13" s="9">
        <v>-0.2</v>
      </c>
      <c r="K13" s="9">
        <v>0.6</v>
      </c>
      <c r="L13" s="9">
        <v>111834</v>
      </c>
      <c r="M13" s="10" t="s">
        <v>976</v>
      </c>
      <c r="O13" s="23" t="s">
        <v>126</v>
      </c>
      <c r="P13">
        <f>AVERAGE(H26:H29)</f>
        <v>0.8</v>
      </c>
    </row>
    <row r="14" spans="1:16">
      <c r="A14" s="5">
        <v>4</v>
      </c>
      <c r="B14" s="6" t="s">
        <v>534</v>
      </c>
      <c r="C14" s="6">
        <v>3.02</v>
      </c>
      <c r="D14" s="6">
        <v>0</v>
      </c>
      <c r="E14" s="6">
        <v>1</v>
      </c>
      <c r="F14" s="6">
        <v>0</v>
      </c>
      <c r="G14" s="6">
        <v>0</v>
      </c>
      <c r="H14" s="6">
        <v>2</v>
      </c>
      <c r="I14" s="6">
        <v>0</v>
      </c>
      <c r="J14" s="6">
        <v>-0.2</v>
      </c>
      <c r="K14" s="6">
        <v>0.6</v>
      </c>
      <c r="L14" s="6">
        <v>111834</v>
      </c>
      <c r="M14" s="7" t="s">
        <v>977</v>
      </c>
    </row>
    <row r="15" spans="1:16">
      <c r="A15" s="8">
        <v>5</v>
      </c>
      <c r="B15" s="9" t="s">
        <v>534</v>
      </c>
      <c r="C15" s="9">
        <v>4.0199999999999996</v>
      </c>
      <c r="D15" s="9">
        <v>0</v>
      </c>
      <c r="E15" s="9">
        <v>1</v>
      </c>
      <c r="F15" s="9">
        <v>0</v>
      </c>
      <c r="G15" s="9">
        <v>0</v>
      </c>
      <c r="H15" s="9">
        <v>2</v>
      </c>
      <c r="I15" s="9">
        <v>0</v>
      </c>
      <c r="J15" s="9">
        <v>-0.2</v>
      </c>
      <c r="K15" s="9">
        <v>0.6</v>
      </c>
      <c r="L15" s="9">
        <v>111834</v>
      </c>
      <c r="M15" s="10" t="s">
        <v>978</v>
      </c>
    </row>
    <row r="16" spans="1:16">
      <c r="A16" s="5">
        <v>6</v>
      </c>
      <c r="B16" s="6" t="s">
        <v>979</v>
      </c>
      <c r="C16" s="6">
        <v>5.0199999999999996</v>
      </c>
      <c r="D16" s="6">
        <v>0</v>
      </c>
      <c r="E16" s="6">
        <v>2</v>
      </c>
      <c r="F16" s="6">
        <v>1</v>
      </c>
      <c r="G16" s="6">
        <v>24</v>
      </c>
      <c r="H16" s="6">
        <v>2</v>
      </c>
      <c r="I16" s="6">
        <v>88</v>
      </c>
      <c r="J16" s="6">
        <v>0</v>
      </c>
      <c r="K16" s="6">
        <v>0.6</v>
      </c>
      <c r="L16" s="6">
        <v>111834</v>
      </c>
      <c r="M16" s="7" t="s">
        <v>980</v>
      </c>
    </row>
    <row r="17" spans="1:13">
      <c r="A17" s="8">
        <v>7</v>
      </c>
      <c r="B17" s="9" t="s">
        <v>979</v>
      </c>
      <c r="C17" s="9">
        <v>6.02</v>
      </c>
      <c r="D17" s="9">
        <v>0</v>
      </c>
      <c r="E17" s="9">
        <v>2</v>
      </c>
      <c r="F17" s="9">
        <v>0</v>
      </c>
      <c r="G17" s="9">
        <v>24</v>
      </c>
      <c r="H17" s="9">
        <v>2</v>
      </c>
      <c r="I17" s="9">
        <v>88</v>
      </c>
      <c r="J17" s="9">
        <v>0</v>
      </c>
      <c r="K17" s="9">
        <v>0.5</v>
      </c>
      <c r="L17" s="9">
        <v>111834</v>
      </c>
      <c r="M17" s="10" t="s">
        <v>981</v>
      </c>
    </row>
    <row r="18" spans="1:13">
      <c r="A18" s="5">
        <v>8</v>
      </c>
      <c r="B18" s="6" t="s">
        <v>252</v>
      </c>
      <c r="C18" s="6">
        <v>7.02</v>
      </c>
      <c r="D18" s="6">
        <v>1</v>
      </c>
      <c r="E18" s="6">
        <v>2</v>
      </c>
      <c r="F18" s="6">
        <v>0</v>
      </c>
      <c r="G18" s="6">
        <v>24</v>
      </c>
      <c r="H18" s="6">
        <v>2</v>
      </c>
      <c r="I18" s="6">
        <v>88</v>
      </c>
      <c r="J18" s="6">
        <v>-0.2</v>
      </c>
      <c r="K18" s="6">
        <v>0.6</v>
      </c>
      <c r="L18" s="6">
        <v>111834</v>
      </c>
      <c r="M18" s="7" t="s">
        <v>982</v>
      </c>
    </row>
    <row r="19" spans="1:13">
      <c r="A19" s="8">
        <v>9</v>
      </c>
      <c r="B19" s="9" t="s">
        <v>252</v>
      </c>
      <c r="C19" s="9">
        <v>8.0299999999999994</v>
      </c>
      <c r="D19" s="9">
        <v>0</v>
      </c>
      <c r="E19" s="9">
        <v>3</v>
      </c>
      <c r="F19" s="9">
        <v>1</v>
      </c>
      <c r="G19" s="9">
        <v>24</v>
      </c>
      <c r="H19" s="9">
        <v>2</v>
      </c>
      <c r="I19" s="9">
        <v>87</v>
      </c>
      <c r="J19" s="9">
        <v>-0.2</v>
      </c>
      <c r="K19" s="9">
        <v>0.6</v>
      </c>
      <c r="L19" s="9">
        <v>111834</v>
      </c>
      <c r="M19" s="10" t="s">
        <v>983</v>
      </c>
    </row>
    <row r="20" spans="1:13">
      <c r="A20" s="5">
        <v>10</v>
      </c>
      <c r="B20" s="6" t="s">
        <v>536</v>
      </c>
      <c r="C20" s="6">
        <v>9.0399999999999991</v>
      </c>
      <c r="D20" s="6">
        <v>1</v>
      </c>
      <c r="E20" s="6">
        <v>3</v>
      </c>
      <c r="F20" s="6">
        <v>0</v>
      </c>
      <c r="G20" s="6">
        <v>24</v>
      </c>
      <c r="H20" s="6">
        <v>1.9</v>
      </c>
      <c r="I20" s="6">
        <v>87</v>
      </c>
      <c r="J20" s="6">
        <v>-0.2</v>
      </c>
      <c r="K20" s="6">
        <v>0.6</v>
      </c>
      <c r="L20" s="6">
        <v>111834</v>
      </c>
      <c r="M20" s="7" t="s">
        <v>984</v>
      </c>
    </row>
    <row r="21" spans="1:13">
      <c r="A21" s="15">
        <v>11</v>
      </c>
      <c r="B21" s="16" t="s">
        <v>536</v>
      </c>
      <c r="C21" s="16">
        <v>10.039999999999999</v>
      </c>
      <c r="D21" s="16">
        <v>0</v>
      </c>
      <c r="E21" s="16">
        <v>4</v>
      </c>
      <c r="F21" s="16">
        <v>1</v>
      </c>
      <c r="G21" s="16">
        <v>24</v>
      </c>
      <c r="H21" s="16">
        <v>1.9</v>
      </c>
      <c r="I21" s="16">
        <v>88</v>
      </c>
      <c r="J21" s="16">
        <v>-0.2</v>
      </c>
      <c r="K21" s="16">
        <v>0.6</v>
      </c>
      <c r="L21" s="16">
        <v>111834</v>
      </c>
      <c r="M21" s="17" t="s">
        <v>985</v>
      </c>
    </row>
    <row r="22" spans="1:13">
      <c r="A22" s="5">
        <v>12</v>
      </c>
      <c r="B22" s="6" t="s">
        <v>256</v>
      </c>
      <c r="C22" s="6">
        <v>11.04</v>
      </c>
      <c r="D22" s="6">
        <v>294</v>
      </c>
      <c r="E22" s="6">
        <v>242</v>
      </c>
      <c r="F22" s="6">
        <v>238</v>
      </c>
      <c r="G22" s="6">
        <v>24</v>
      </c>
      <c r="H22" s="6">
        <v>0.4</v>
      </c>
      <c r="I22" s="6">
        <v>88</v>
      </c>
      <c r="J22" s="6">
        <v>-0.1</v>
      </c>
      <c r="K22" s="6">
        <v>0.6</v>
      </c>
      <c r="L22" s="6">
        <v>111834</v>
      </c>
      <c r="M22" s="7" t="s">
        <v>986</v>
      </c>
    </row>
    <row r="23" spans="1:13">
      <c r="A23" s="8">
        <v>13</v>
      </c>
      <c r="B23" s="9" t="s">
        <v>539</v>
      </c>
      <c r="C23" s="9">
        <v>12.04</v>
      </c>
      <c r="D23" s="9">
        <v>293</v>
      </c>
      <c r="E23" s="9">
        <v>997</v>
      </c>
      <c r="F23" s="9">
        <v>755</v>
      </c>
      <c r="G23" s="9">
        <v>24</v>
      </c>
      <c r="H23" s="9">
        <v>0.4</v>
      </c>
      <c r="I23" s="9">
        <v>90</v>
      </c>
      <c r="J23" s="9">
        <v>-0.1</v>
      </c>
      <c r="K23" s="9">
        <v>0.6</v>
      </c>
      <c r="L23" s="9">
        <v>111834</v>
      </c>
      <c r="M23" s="10" t="s">
        <v>987</v>
      </c>
    </row>
    <row r="24" spans="1:13">
      <c r="A24" s="5">
        <v>14</v>
      </c>
      <c r="B24" s="6" t="s">
        <v>988</v>
      </c>
      <c r="C24" s="6">
        <v>13.04</v>
      </c>
      <c r="D24" s="6">
        <v>293</v>
      </c>
      <c r="E24" s="6">
        <v>1748</v>
      </c>
      <c r="F24" s="6">
        <v>751</v>
      </c>
      <c r="G24" s="6">
        <v>24</v>
      </c>
      <c r="H24" s="6">
        <v>0.4</v>
      </c>
      <c r="I24" s="6">
        <v>96</v>
      </c>
      <c r="J24" s="6">
        <v>-0.1</v>
      </c>
      <c r="K24" s="6">
        <v>0.6</v>
      </c>
      <c r="L24" s="6">
        <v>111834</v>
      </c>
      <c r="M24" s="7" t="s">
        <v>989</v>
      </c>
    </row>
    <row r="25" spans="1:13">
      <c r="A25" s="8">
        <v>15</v>
      </c>
      <c r="B25" s="9" t="s">
        <v>545</v>
      </c>
      <c r="C25" s="9">
        <v>13.83</v>
      </c>
      <c r="D25" s="9">
        <v>295</v>
      </c>
      <c r="E25" s="9">
        <v>2355</v>
      </c>
      <c r="F25" s="9">
        <v>607</v>
      </c>
      <c r="G25" s="9">
        <v>24</v>
      </c>
      <c r="H25" s="9">
        <v>0.4</v>
      </c>
      <c r="I25" s="9">
        <v>103</v>
      </c>
      <c r="J25" s="9">
        <v>-0.1</v>
      </c>
      <c r="K25" s="9">
        <v>0.6</v>
      </c>
      <c r="L25" s="9">
        <v>111834</v>
      </c>
      <c r="M25" s="10" t="s">
        <v>990</v>
      </c>
    </row>
    <row r="26" spans="1:13">
      <c r="A26" s="5">
        <v>16</v>
      </c>
      <c r="B26" s="6" t="s">
        <v>273</v>
      </c>
      <c r="C26" s="6">
        <v>13.83</v>
      </c>
      <c r="D26" s="6">
        <v>1</v>
      </c>
      <c r="E26" s="6">
        <v>2396</v>
      </c>
      <c r="F26" s="6">
        <v>41</v>
      </c>
      <c r="G26" s="6">
        <v>24</v>
      </c>
      <c r="H26" s="6">
        <v>0</v>
      </c>
      <c r="I26" s="6">
        <v>98</v>
      </c>
      <c r="J26" s="6">
        <v>0</v>
      </c>
      <c r="K26" s="6">
        <v>0.6</v>
      </c>
      <c r="L26" s="6">
        <v>111834</v>
      </c>
      <c r="M26" s="7" t="s">
        <v>991</v>
      </c>
    </row>
    <row r="27" spans="1:13">
      <c r="A27" s="8">
        <v>17</v>
      </c>
      <c r="B27" s="9" t="s">
        <v>548</v>
      </c>
      <c r="C27" s="9">
        <v>12.83</v>
      </c>
      <c r="D27" s="9">
        <v>1</v>
      </c>
      <c r="E27" s="9">
        <v>2397</v>
      </c>
      <c r="F27" s="9">
        <v>1</v>
      </c>
      <c r="G27" s="9">
        <v>24</v>
      </c>
      <c r="H27" s="9">
        <v>1.1000000000000001</v>
      </c>
      <c r="I27" s="9">
        <v>97</v>
      </c>
      <c r="J27" s="9">
        <v>-0.1</v>
      </c>
      <c r="K27" s="9">
        <v>0.6</v>
      </c>
      <c r="L27" s="9">
        <v>111834</v>
      </c>
      <c r="M27" s="10" t="s">
        <v>992</v>
      </c>
    </row>
    <row r="28" spans="1:13">
      <c r="A28" s="5">
        <v>18</v>
      </c>
      <c r="B28" s="6" t="s">
        <v>275</v>
      </c>
      <c r="C28" s="6">
        <v>11.83</v>
      </c>
      <c r="D28" s="6">
        <v>0</v>
      </c>
      <c r="E28" s="6">
        <v>2398</v>
      </c>
      <c r="F28" s="6">
        <v>1</v>
      </c>
      <c r="G28" s="6">
        <v>24</v>
      </c>
      <c r="H28" s="6">
        <v>1</v>
      </c>
      <c r="I28" s="6">
        <v>91</v>
      </c>
      <c r="J28" s="6">
        <v>-0.1</v>
      </c>
      <c r="K28" s="6">
        <v>0.6</v>
      </c>
      <c r="L28" s="6">
        <v>111834</v>
      </c>
      <c r="M28" s="7" t="s">
        <v>993</v>
      </c>
    </row>
    <row r="29" spans="1:13">
      <c r="A29" s="8">
        <v>19</v>
      </c>
      <c r="B29" s="9" t="s">
        <v>554</v>
      </c>
      <c r="C29" s="9">
        <v>10.83</v>
      </c>
      <c r="D29" s="9">
        <v>1</v>
      </c>
      <c r="E29" s="9">
        <v>2399</v>
      </c>
      <c r="F29" s="9">
        <v>1</v>
      </c>
      <c r="G29" s="9">
        <v>24</v>
      </c>
      <c r="H29" s="9">
        <v>1.1000000000000001</v>
      </c>
      <c r="I29" s="9">
        <v>88</v>
      </c>
      <c r="J29" s="9">
        <v>-0.1</v>
      </c>
      <c r="K29" s="9">
        <v>0.6</v>
      </c>
      <c r="L29" s="9">
        <v>111834</v>
      </c>
      <c r="M29" s="10" t="s">
        <v>994</v>
      </c>
    </row>
    <row r="30" spans="1:13">
      <c r="A30" s="5">
        <v>20</v>
      </c>
      <c r="B30" s="6" t="s">
        <v>278</v>
      </c>
      <c r="C30" s="6">
        <v>9.83</v>
      </c>
      <c r="D30" s="6">
        <v>1</v>
      </c>
      <c r="E30" s="6">
        <v>2399</v>
      </c>
      <c r="F30" s="6">
        <v>0</v>
      </c>
      <c r="G30" s="6">
        <v>24</v>
      </c>
      <c r="H30" s="6">
        <v>2.1</v>
      </c>
      <c r="I30" s="6">
        <v>88</v>
      </c>
      <c r="J30" s="6">
        <v>-0.1</v>
      </c>
      <c r="K30" s="6">
        <v>0.6</v>
      </c>
      <c r="L30" s="6">
        <v>111834</v>
      </c>
      <c r="M30" s="7" t="s">
        <v>995</v>
      </c>
    </row>
    <row r="31" spans="1:13">
      <c r="A31" s="8">
        <v>21</v>
      </c>
      <c r="B31" s="9" t="s">
        <v>278</v>
      </c>
      <c r="C31" s="9">
        <v>8.81</v>
      </c>
      <c r="D31" s="9">
        <v>1</v>
      </c>
      <c r="E31" s="9">
        <v>2399</v>
      </c>
      <c r="F31" s="9">
        <v>0</v>
      </c>
      <c r="G31" s="9">
        <v>24</v>
      </c>
      <c r="H31" s="9">
        <v>2.1</v>
      </c>
      <c r="I31" s="9">
        <v>88</v>
      </c>
      <c r="J31" s="9">
        <v>-0.1</v>
      </c>
      <c r="K31" s="9">
        <v>0.6</v>
      </c>
      <c r="L31" s="9">
        <v>111834</v>
      </c>
      <c r="M31" s="10" t="s">
        <v>996</v>
      </c>
    </row>
    <row r="32" spans="1:13">
      <c r="A32" s="5">
        <v>22</v>
      </c>
      <c r="B32" s="6" t="s">
        <v>280</v>
      </c>
      <c r="C32" s="6">
        <v>7.81</v>
      </c>
      <c r="D32" s="6">
        <v>1</v>
      </c>
      <c r="E32" s="6">
        <v>2400</v>
      </c>
      <c r="F32" s="6">
        <v>1</v>
      </c>
      <c r="G32" s="6">
        <v>24</v>
      </c>
      <c r="H32" s="6">
        <v>2.1</v>
      </c>
      <c r="I32" s="6">
        <v>88</v>
      </c>
      <c r="J32" s="6">
        <v>-0.1</v>
      </c>
      <c r="K32" s="6">
        <v>0.5</v>
      </c>
      <c r="L32" s="6">
        <v>111834</v>
      </c>
      <c r="M32" s="7" t="s">
        <v>997</v>
      </c>
    </row>
    <row r="33" spans="1:13">
      <c r="A33" s="8">
        <v>23</v>
      </c>
      <c r="B33" s="9" t="s">
        <v>280</v>
      </c>
      <c r="C33" s="9">
        <v>6.81</v>
      </c>
      <c r="D33" s="9">
        <v>0</v>
      </c>
      <c r="E33" s="9">
        <v>2400</v>
      </c>
      <c r="F33" s="9">
        <v>0</v>
      </c>
      <c r="G33" s="9">
        <v>24</v>
      </c>
      <c r="H33" s="9">
        <v>2.2000000000000002</v>
      </c>
      <c r="I33" s="9">
        <v>88</v>
      </c>
      <c r="J33" s="9">
        <v>-0.1</v>
      </c>
      <c r="K33" s="9">
        <v>0.6</v>
      </c>
      <c r="L33" s="9">
        <v>111834</v>
      </c>
      <c r="M33" s="10" t="s">
        <v>998</v>
      </c>
    </row>
    <row r="34" spans="1:13">
      <c r="A34" s="5">
        <v>24</v>
      </c>
      <c r="B34" s="6" t="s">
        <v>282</v>
      </c>
      <c r="C34" s="6">
        <v>5.8</v>
      </c>
      <c r="D34" s="6">
        <v>1</v>
      </c>
      <c r="E34" s="6">
        <v>2400</v>
      </c>
      <c r="F34" s="6">
        <v>0</v>
      </c>
      <c r="G34" s="6">
        <v>0</v>
      </c>
      <c r="H34" s="6">
        <v>2.4</v>
      </c>
      <c r="I34" s="6">
        <v>0</v>
      </c>
      <c r="J34" s="6">
        <v>-0.1</v>
      </c>
      <c r="K34" s="6">
        <v>0.6</v>
      </c>
      <c r="L34" s="6">
        <v>111834</v>
      </c>
      <c r="M34" s="7" t="s">
        <v>999</v>
      </c>
    </row>
    <row r="35" spans="1:13">
      <c r="A35" s="8">
        <v>25</v>
      </c>
      <c r="B35" s="9" t="s">
        <v>282</v>
      </c>
      <c r="C35" s="9">
        <v>4.8</v>
      </c>
      <c r="D35" s="9">
        <v>0</v>
      </c>
      <c r="E35" s="9">
        <v>2400</v>
      </c>
      <c r="F35" s="9">
        <v>0</v>
      </c>
      <c r="G35" s="9">
        <v>0</v>
      </c>
      <c r="H35" s="9">
        <v>2.5</v>
      </c>
      <c r="I35" s="9">
        <v>0</v>
      </c>
      <c r="J35" s="9">
        <v>-0.1</v>
      </c>
      <c r="K35" s="9">
        <v>0.6</v>
      </c>
      <c r="L35" s="9">
        <v>111834</v>
      </c>
      <c r="M35" s="10" t="s">
        <v>1000</v>
      </c>
    </row>
    <row r="36" spans="1:13">
      <c r="A36" s="5">
        <v>26</v>
      </c>
      <c r="B36" s="6" t="s">
        <v>282</v>
      </c>
      <c r="C36" s="6">
        <v>3.79</v>
      </c>
      <c r="D36" s="6">
        <v>1</v>
      </c>
      <c r="E36" s="6">
        <v>2401</v>
      </c>
      <c r="F36" s="6">
        <v>1</v>
      </c>
      <c r="G36" s="6">
        <v>0</v>
      </c>
      <c r="H36" s="6">
        <v>2.5</v>
      </c>
      <c r="I36" s="6">
        <v>0</v>
      </c>
      <c r="J36" s="6">
        <v>-0.1</v>
      </c>
      <c r="K36" s="6">
        <v>0.6</v>
      </c>
      <c r="L36" s="6">
        <v>111834</v>
      </c>
      <c r="M36" s="7" t="s">
        <v>1001</v>
      </c>
    </row>
    <row r="37" spans="1:13">
      <c r="A37" s="8">
        <v>27</v>
      </c>
      <c r="B37" s="9" t="s">
        <v>284</v>
      </c>
      <c r="C37" s="9">
        <v>2.79</v>
      </c>
      <c r="D37" s="9">
        <v>1</v>
      </c>
      <c r="E37" s="9">
        <v>2401</v>
      </c>
      <c r="F37" s="9">
        <v>0</v>
      </c>
      <c r="G37" s="9">
        <v>0</v>
      </c>
      <c r="H37" s="9">
        <v>2.5</v>
      </c>
      <c r="I37" s="9">
        <v>0</v>
      </c>
      <c r="J37" s="9">
        <v>-0.1</v>
      </c>
      <c r="K37" s="9">
        <v>0.5</v>
      </c>
      <c r="L37" s="9">
        <v>111834</v>
      </c>
      <c r="M37" s="10" t="s">
        <v>1002</v>
      </c>
    </row>
    <row r="38" spans="1:13">
      <c r="A38" s="5">
        <v>28</v>
      </c>
      <c r="B38" s="6" t="s">
        <v>284</v>
      </c>
      <c r="C38" s="6">
        <v>1.78</v>
      </c>
      <c r="D38" s="6">
        <v>1</v>
      </c>
      <c r="E38" s="6">
        <v>2401</v>
      </c>
      <c r="F38" s="6">
        <v>0</v>
      </c>
      <c r="G38" s="6">
        <v>0</v>
      </c>
      <c r="H38" s="6">
        <v>0.9</v>
      </c>
      <c r="I38" s="6">
        <v>0</v>
      </c>
      <c r="J38" s="6">
        <v>-0.1</v>
      </c>
      <c r="K38" s="6">
        <v>0.6</v>
      </c>
      <c r="L38" s="6">
        <v>111834</v>
      </c>
      <c r="M38" s="7" t="s">
        <v>1003</v>
      </c>
    </row>
    <row r="39" spans="1:13">
      <c r="A39" s="11">
        <v>29</v>
      </c>
      <c r="B39" s="12" t="s">
        <v>287</v>
      </c>
      <c r="C39" s="12">
        <v>0.78</v>
      </c>
      <c r="D39" s="12">
        <v>1</v>
      </c>
      <c r="E39" s="12">
        <v>2401</v>
      </c>
      <c r="F39" s="12">
        <v>0</v>
      </c>
      <c r="G39" s="12">
        <v>0</v>
      </c>
      <c r="H39" s="12">
        <v>2.7</v>
      </c>
      <c r="I39" s="12">
        <v>0</v>
      </c>
      <c r="J39" s="12">
        <v>-0.1</v>
      </c>
      <c r="K39" s="12">
        <v>0.6</v>
      </c>
      <c r="L39" s="12">
        <v>111834</v>
      </c>
      <c r="M39" s="13" t="s">
        <v>1004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8CB3-F1CF-4B47-836C-ABF06B76917D}">
  <dimension ref="A1:P39"/>
  <sheetViews>
    <sheetView zoomScale="70" zoomScaleNormal="70" workbookViewId="0">
      <selection activeCell="P18" sqref="P18:P19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937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601</v>
      </c>
      <c r="C4" s="6" t="s">
        <v>13</v>
      </c>
      <c r="D4" s="6" t="s">
        <v>13</v>
      </c>
      <c r="E4" s="6" t="s">
        <v>19</v>
      </c>
      <c r="F4" s="6" t="s">
        <v>601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938</v>
      </c>
      <c r="C5" s="9" t="s">
        <v>13</v>
      </c>
      <c r="D5" s="9" t="s">
        <v>13</v>
      </c>
      <c r="E5" s="9" t="s">
        <v>22</v>
      </c>
      <c r="F5" s="9" t="s">
        <v>939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207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940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O10" s="22" t="s">
        <v>124</v>
      </c>
      <c r="P10">
        <v>10.74</v>
      </c>
    </row>
    <row r="11" spans="1:16">
      <c r="A11" s="8">
        <v>1</v>
      </c>
      <c r="B11" s="9" t="s">
        <v>207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101834</v>
      </c>
      <c r="M11" s="10" t="s">
        <v>941</v>
      </c>
      <c r="O11" s="23" t="s">
        <v>127</v>
      </c>
      <c r="P11">
        <f>SUM(F21:F27)</f>
        <v>2451</v>
      </c>
    </row>
    <row r="12" spans="1:16">
      <c r="A12" s="5">
        <v>2</v>
      </c>
      <c r="B12" s="6" t="s">
        <v>207</v>
      </c>
      <c r="C12" s="6">
        <v>1.01</v>
      </c>
      <c r="D12" s="6">
        <v>1</v>
      </c>
      <c r="E12" s="6">
        <v>0</v>
      </c>
      <c r="F12" s="6">
        <v>0</v>
      </c>
      <c r="G12" s="6">
        <v>0</v>
      </c>
      <c r="H12" s="6">
        <v>2.1</v>
      </c>
      <c r="I12" s="6">
        <v>0</v>
      </c>
      <c r="J12" s="6">
        <v>0.4</v>
      </c>
      <c r="K12" s="6">
        <v>0.4</v>
      </c>
      <c r="L12" s="6">
        <v>101834</v>
      </c>
      <c r="M12" s="7" t="s">
        <v>941</v>
      </c>
      <c r="O12" s="23" t="s">
        <v>125</v>
      </c>
      <c r="P12">
        <f>AVERAGE(H21:H25)</f>
        <v>0.72</v>
      </c>
    </row>
    <row r="13" spans="1:16">
      <c r="A13" s="8">
        <v>3</v>
      </c>
      <c r="B13" s="9" t="s">
        <v>212</v>
      </c>
      <c r="C13" s="9">
        <v>2.0099999999999998</v>
      </c>
      <c r="D13" s="9">
        <v>1</v>
      </c>
      <c r="E13" s="9">
        <v>1</v>
      </c>
      <c r="F13" s="9">
        <v>1</v>
      </c>
      <c r="G13" s="9">
        <v>0</v>
      </c>
      <c r="H13" s="9">
        <v>2.1</v>
      </c>
      <c r="I13" s="9">
        <v>0</v>
      </c>
      <c r="J13" s="9">
        <v>0.4</v>
      </c>
      <c r="K13" s="9">
        <v>0.4</v>
      </c>
      <c r="L13" s="9">
        <v>101834</v>
      </c>
      <c r="M13" s="10" t="s">
        <v>942</v>
      </c>
      <c r="O13" s="23" t="s">
        <v>126</v>
      </c>
      <c r="P13">
        <f>AVERAGE(H26:H29)</f>
        <v>0.82500000000000007</v>
      </c>
    </row>
    <row r="14" spans="1:16">
      <c r="A14" s="5">
        <v>4</v>
      </c>
      <c r="B14" s="6" t="s">
        <v>212</v>
      </c>
      <c r="C14" s="6">
        <v>3.01</v>
      </c>
      <c r="D14" s="6">
        <v>1</v>
      </c>
      <c r="E14" s="6">
        <v>1</v>
      </c>
      <c r="F14" s="6">
        <v>0</v>
      </c>
      <c r="G14" s="6">
        <v>0</v>
      </c>
      <c r="H14" s="6">
        <v>2</v>
      </c>
      <c r="I14" s="6">
        <v>0</v>
      </c>
      <c r="J14" s="6">
        <v>0.5</v>
      </c>
      <c r="K14" s="6">
        <v>0.4</v>
      </c>
      <c r="L14" s="6">
        <v>101834</v>
      </c>
      <c r="M14" s="7" t="s">
        <v>943</v>
      </c>
    </row>
    <row r="15" spans="1:16">
      <c r="A15" s="8">
        <v>5</v>
      </c>
      <c r="B15" s="9" t="s">
        <v>217</v>
      </c>
      <c r="C15" s="9">
        <v>4.01</v>
      </c>
      <c r="D15" s="9">
        <v>1</v>
      </c>
      <c r="E15" s="9">
        <v>1</v>
      </c>
      <c r="F15" s="9">
        <v>0</v>
      </c>
      <c r="G15" s="9">
        <v>0</v>
      </c>
      <c r="H15" s="9">
        <v>2.1</v>
      </c>
      <c r="I15" s="9">
        <v>0</v>
      </c>
      <c r="J15" s="9">
        <v>0.5</v>
      </c>
      <c r="K15" s="9">
        <v>0.4</v>
      </c>
      <c r="L15" s="9">
        <v>101834</v>
      </c>
      <c r="M15" s="10" t="s">
        <v>944</v>
      </c>
    </row>
    <row r="16" spans="1:16">
      <c r="A16" s="5">
        <v>6</v>
      </c>
      <c r="B16" s="6" t="s">
        <v>217</v>
      </c>
      <c r="C16" s="6">
        <v>5.03</v>
      </c>
      <c r="D16" s="6">
        <v>0</v>
      </c>
      <c r="E16" s="6">
        <v>2</v>
      </c>
      <c r="F16" s="6">
        <v>1</v>
      </c>
      <c r="G16" s="6">
        <v>24</v>
      </c>
      <c r="H16" s="6">
        <v>2.1</v>
      </c>
      <c r="I16" s="6">
        <v>87</v>
      </c>
      <c r="J16" s="6">
        <v>0.4</v>
      </c>
      <c r="K16" s="6">
        <v>0.5</v>
      </c>
      <c r="L16" s="6">
        <v>101834</v>
      </c>
      <c r="M16" s="7" t="s">
        <v>945</v>
      </c>
    </row>
    <row r="17" spans="1:13">
      <c r="A17" s="8">
        <v>7</v>
      </c>
      <c r="B17" s="9" t="s">
        <v>946</v>
      </c>
      <c r="C17" s="9">
        <v>6.04</v>
      </c>
      <c r="D17" s="9">
        <v>0</v>
      </c>
      <c r="E17" s="9">
        <v>2</v>
      </c>
      <c r="F17" s="9">
        <v>0</v>
      </c>
      <c r="G17" s="9">
        <v>24</v>
      </c>
      <c r="H17" s="9">
        <v>2.1</v>
      </c>
      <c r="I17" s="9">
        <v>88</v>
      </c>
      <c r="J17" s="9">
        <v>0.4</v>
      </c>
      <c r="K17" s="9">
        <v>0.5</v>
      </c>
      <c r="L17" s="9">
        <v>101834</v>
      </c>
      <c r="M17" s="10" t="s">
        <v>947</v>
      </c>
    </row>
    <row r="18" spans="1:13">
      <c r="A18" s="5">
        <v>8</v>
      </c>
      <c r="B18" s="6" t="s">
        <v>946</v>
      </c>
      <c r="C18" s="6">
        <v>7.04</v>
      </c>
      <c r="D18" s="6">
        <v>1</v>
      </c>
      <c r="E18" s="6">
        <v>2</v>
      </c>
      <c r="F18" s="6">
        <v>0</v>
      </c>
      <c r="G18" s="6">
        <v>24</v>
      </c>
      <c r="H18" s="6">
        <v>2.1</v>
      </c>
      <c r="I18" s="6">
        <v>87</v>
      </c>
      <c r="J18" s="6">
        <v>0.5</v>
      </c>
      <c r="K18" s="6">
        <v>0.3</v>
      </c>
      <c r="L18" s="6">
        <v>101834</v>
      </c>
      <c r="M18" s="7" t="s">
        <v>948</v>
      </c>
    </row>
    <row r="19" spans="1:13">
      <c r="A19" s="8">
        <v>9</v>
      </c>
      <c r="B19" s="9" t="s">
        <v>219</v>
      </c>
      <c r="C19" s="9">
        <v>8.0399999999999991</v>
      </c>
      <c r="D19" s="9">
        <v>1</v>
      </c>
      <c r="E19" s="9">
        <v>3</v>
      </c>
      <c r="F19" s="9">
        <v>1</v>
      </c>
      <c r="G19" s="9">
        <v>24</v>
      </c>
      <c r="H19" s="9">
        <v>2.1</v>
      </c>
      <c r="I19" s="9">
        <v>87</v>
      </c>
      <c r="J19" s="9">
        <v>0.4</v>
      </c>
      <c r="K19" s="9">
        <v>0.4</v>
      </c>
      <c r="L19" s="9">
        <v>101834</v>
      </c>
      <c r="M19" s="10" t="s">
        <v>949</v>
      </c>
    </row>
    <row r="20" spans="1:13">
      <c r="A20" s="5">
        <v>10</v>
      </c>
      <c r="B20" s="6" t="s">
        <v>219</v>
      </c>
      <c r="C20" s="6">
        <v>9.0399999999999991</v>
      </c>
      <c r="D20" s="6">
        <v>1</v>
      </c>
      <c r="E20" s="6">
        <v>3</v>
      </c>
      <c r="F20" s="6">
        <v>0</v>
      </c>
      <c r="G20" s="6">
        <v>24</v>
      </c>
      <c r="H20" s="6">
        <v>2</v>
      </c>
      <c r="I20" s="6">
        <v>87</v>
      </c>
      <c r="J20" s="6">
        <v>0.5</v>
      </c>
      <c r="K20" s="6">
        <v>0.4</v>
      </c>
      <c r="L20" s="6">
        <v>101834</v>
      </c>
      <c r="M20" s="7" t="s">
        <v>950</v>
      </c>
    </row>
    <row r="21" spans="1:13">
      <c r="A21" s="15">
        <v>11</v>
      </c>
      <c r="B21" s="16" t="s">
        <v>951</v>
      </c>
      <c r="C21" s="16">
        <v>10.039999999999999</v>
      </c>
      <c r="D21" s="16">
        <v>0</v>
      </c>
      <c r="E21" s="16">
        <v>3</v>
      </c>
      <c r="F21" s="16">
        <v>0</v>
      </c>
      <c r="G21" s="16">
        <v>24</v>
      </c>
      <c r="H21" s="16">
        <v>2</v>
      </c>
      <c r="I21" s="16">
        <v>87</v>
      </c>
      <c r="J21" s="16">
        <v>0.5</v>
      </c>
      <c r="K21" s="16">
        <v>0.4</v>
      </c>
      <c r="L21" s="16">
        <v>101834</v>
      </c>
      <c r="M21" s="17" t="s">
        <v>952</v>
      </c>
    </row>
    <row r="22" spans="1:13">
      <c r="A22" s="5">
        <v>12</v>
      </c>
      <c r="B22" s="6" t="s">
        <v>221</v>
      </c>
      <c r="C22" s="6">
        <v>11.04</v>
      </c>
      <c r="D22" s="6">
        <v>294</v>
      </c>
      <c r="E22" s="6">
        <v>322</v>
      </c>
      <c r="F22" s="6">
        <v>319</v>
      </c>
      <c r="G22" s="6">
        <v>24</v>
      </c>
      <c r="H22" s="6">
        <v>0.4</v>
      </c>
      <c r="I22" s="6">
        <v>88</v>
      </c>
      <c r="J22" s="6">
        <v>0.4</v>
      </c>
      <c r="K22" s="6">
        <v>0.4</v>
      </c>
      <c r="L22" s="6">
        <v>101834</v>
      </c>
      <c r="M22" s="7" t="s">
        <v>953</v>
      </c>
    </row>
    <row r="23" spans="1:13">
      <c r="A23" s="8">
        <v>13</v>
      </c>
      <c r="B23" s="9" t="s">
        <v>735</v>
      </c>
      <c r="C23" s="9">
        <v>12.04</v>
      </c>
      <c r="D23" s="9">
        <v>292</v>
      </c>
      <c r="E23" s="9">
        <v>1106</v>
      </c>
      <c r="F23" s="9">
        <v>784</v>
      </c>
      <c r="G23" s="9">
        <v>24</v>
      </c>
      <c r="H23" s="9">
        <v>0.4</v>
      </c>
      <c r="I23" s="9">
        <v>94</v>
      </c>
      <c r="J23" s="9">
        <v>0.5</v>
      </c>
      <c r="K23" s="9">
        <v>0.4</v>
      </c>
      <c r="L23" s="9">
        <v>101834</v>
      </c>
      <c r="M23" s="10" t="s">
        <v>954</v>
      </c>
    </row>
    <row r="24" spans="1:13">
      <c r="A24" s="5">
        <v>14</v>
      </c>
      <c r="B24" s="6" t="s">
        <v>509</v>
      </c>
      <c r="C24" s="6">
        <v>13.04</v>
      </c>
      <c r="D24" s="6">
        <v>292</v>
      </c>
      <c r="E24" s="6">
        <v>1867</v>
      </c>
      <c r="F24" s="6">
        <v>761</v>
      </c>
      <c r="G24" s="6">
        <v>24</v>
      </c>
      <c r="H24" s="6">
        <v>0.4</v>
      </c>
      <c r="I24" s="6">
        <v>100</v>
      </c>
      <c r="J24" s="6">
        <v>0.4</v>
      </c>
      <c r="K24" s="6">
        <v>0.4</v>
      </c>
      <c r="L24" s="6">
        <v>101834</v>
      </c>
      <c r="M24" s="7" t="s">
        <v>955</v>
      </c>
    </row>
    <row r="25" spans="1:13">
      <c r="A25" s="8">
        <v>15</v>
      </c>
      <c r="B25" s="9" t="s">
        <v>231</v>
      </c>
      <c r="C25" s="9">
        <v>13.74</v>
      </c>
      <c r="D25" s="9">
        <v>293</v>
      </c>
      <c r="E25" s="9">
        <v>2399</v>
      </c>
      <c r="F25" s="9">
        <v>532</v>
      </c>
      <c r="G25" s="9">
        <v>24</v>
      </c>
      <c r="H25" s="9">
        <v>0.4</v>
      </c>
      <c r="I25" s="9">
        <v>105</v>
      </c>
      <c r="J25" s="9">
        <v>0.4</v>
      </c>
      <c r="K25" s="9">
        <v>0.4</v>
      </c>
      <c r="L25" s="9">
        <v>101834</v>
      </c>
      <c r="M25" s="10" t="s">
        <v>956</v>
      </c>
    </row>
    <row r="26" spans="1:13">
      <c r="A26" s="5">
        <v>16</v>
      </c>
      <c r="B26" s="6" t="s">
        <v>233</v>
      </c>
      <c r="C26" s="6">
        <v>13.74</v>
      </c>
      <c r="D26" s="6">
        <v>1</v>
      </c>
      <c r="E26" s="6">
        <v>2436</v>
      </c>
      <c r="F26" s="6">
        <v>37</v>
      </c>
      <c r="G26" s="6">
        <v>0</v>
      </c>
      <c r="H26" s="6">
        <v>0</v>
      </c>
      <c r="I26" s="6">
        <v>0</v>
      </c>
      <c r="J26" s="6">
        <v>0.5</v>
      </c>
      <c r="K26" s="6">
        <v>0.4</v>
      </c>
      <c r="L26" s="6">
        <v>101834</v>
      </c>
      <c r="M26" s="7" t="s">
        <v>957</v>
      </c>
    </row>
    <row r="27" spans="1:13">
      <c r="A27" s="8">
        <v>17</v>
      </c>
      <c r="B27" s="9" t="s">
        <v>235</v>
      </c>
      <c r="C27" s="9">
        <v>12.74</v>
      </c>
      <c r="D27" s="9">
        <v>1</v>
      </c>
      <c r="E27" s="9">
        <v>2454</v>
      </c>
      <c r="F27" s="9">
        <v>18</v>
      </c>
      <c r="G27" s="9">
        <v>24</v>
      </c>
      <c r="H27" s="9">
        <v>1.1000000000000001</v>
      </c>
      <c r="I27" s="9">
        <v>99</v>
      </c>
      <c r="J27" s="9">
        <v>0.4</v>
      </c>
      <c r="K27" s="9">
        <v>0.4</v>
      </c>
      <c r="L27" s="9">
        <v>101834</v>
      </c>
      <c r="M27" s="10" t="s">
        <v>958</v>
      </c>
    </row>
    <row r="28" spans="1:13">
      <c r="A28" s="5">
        <v>18</v>
      </c>
      <c r="B28" s="6" t="s">
        <v>238</v>
      </c>
      <c r="C28" s="6">
        <v>11.74</v>
      </c>
      <c r="D28" s="6">
        <v>1</v>
      </c>
      <c r="E28" s="6">
        <v>2455</v>
      </c>
      <c r="F28" s="6">
        <v>1</v>
      </c>
      <c r="G28" s="6">
        <v>24</v>
      </c>
      <c r="H28" s="6">
        <v>1.1000000000000001</v>
      </c>
      <c r="I28" s="6">
        <v>91</v>
      </c>
      <c r="J28" s="6">
        <v>0.4</v>
      </c>
      <c r="K28" s="6">
        <v>0.3</v>
      </c>
      <c r="L28" s="6">
        <v>101834</v>
      </c>
      <c r="M28" s="7" t="s">
        <v>959</v>
      </c>
    </row>
    <row r="29" spans="1:13">
      <c r="A29" s="8">
        <v>19</v>
      </c>
      <c r="B29" s="9" t="s">
        <v>242</v>
      </c>
      <c r="C29" s="9">
        <v>10.74</v>
      </c>
      <c r="D29" s="9">
        <v>0</v>
      </c>
      <c r="E29" s="9">
        <v>2455</v>
      </c>
      <c r="F29" s="9">
        <v>0</v>
      </c>
      <c r="G29" s="9">
        <v>24</v>
      </c>
      <c r="H29" s="9">
        <v>1.1000000000000001</v>
      </c>
      <c r="I29" s="9">
        <v>87</v>
      </c>
      <c r="J29" s="9">
        <v>0.4</v>
      </c>
      <c r="K29" s="9">
        <v>0.3</v>
      </c>
      <c r="L29" s="9">
        <v>101834</v>
      </c>
      <c r="M29" s="10" t="s">
        <v>749</v>
      </c>
    </row>
    <row r="30" spans="1:13">
      <c r="A30" s="5">
        <v>20</v>
      </c>
      <c r="B30" s="6" t="s">
        <v>204</v>
      </c>
      <c r="C30" s="6">
        <v>9.73</v>
      </c>
      <c r="D30" s="6">
        <v>0</v>
      </c>
      <c r="E30" s="6">
        <v>2456</v>
      </c>
      <c r="F30" s="6">
        <v>1</v>
      </c>
      <c r="G30" s="6">
        <v>24</v>
      </c>
      <c r="H30" s="6">
        <v>2.4</v>
      </c>
      <c r="I30" s="6">
        <v>87</v>
      </c>
      <c r="J30" s="6">
        <v>0.4</v>
      </c>
      <c r="K30" s="6">
        <v>0.3</v>
      </c>
      <c r="L30" s="6">
        <v>101834</v>
      </c>
      <c r="M30" s="7" t="s">
        <v>246</v>
      </c>
    </row>
    <row r="31" spans="1:13">
      <c r="A31" s="8">
        <v>21</v>
      </c>
      <c r="B31" s="9" t="s">
        <v>204</v>
      </c>
      <c r="C31" s="9">
        <v>8.7200000000000006</v>
      </c>
      <c r="D31" s="9">
        <v>1</v>
      </c>
      <c r="E31" s="9">
        <v>2456</v>
      </c>
      <c r="F31" s="9">
        <v>0</v>
      </c>
      <c r="G31" s="9">
        <v>24</v>
      </c>
      <c r="H31" s="9">
        <v>2.5</v>
      </c>
      <c r="I31" s="9">
        <v>87</v>
      </c>
      <c r="J31" s="9">
        <v>0.4</v>
      </c>
      <c r="K31" s="9">
        <v>0.4</v>
      </c>
      <c r="L31" s="9">
        <v>101834</v>
      </c>
      <c r="M31" s="10" t="s">
        <v>960</v>
      </c>
    </row>
    <row r="32" spans="1:13">
      <c r="A32" s="5">
        <v>22</v>
      </c>
      <c r="B32" s="6" t="s">
        <v>204</v>
      </c>
      <c r="C32" s="6">
        <v>7.71</v>
      </c>
      <c r="D32" s="6">
        <v>1</v>
      </c>
      <c r="E32" s="6">
        <v>2456</v>
      </c>
      <c r="F32" s="6">
        <v>0</v>
      </c>
      <c r="G32" s="6">
        <v>24</v>
      </c>
      <c r="H32" s="6">
        <v>2.6</v>
      </c>
      <c r="I32" s="6">
        <v>87</v>
      </c>
      <c r="J32" s="6">
        <v>0.4</v>
      </c>
      <c r="K32" s="6">
        <v>0.3</v>
      </c>
      <c r="L32" s="6">
        <v>101834</v>
      </c>
      <c r="M32" s="7" t="s">
        <v>961</v>
      </c>
    </row>
    <row r="33" spans="1:13">
      <c r="A33" s="8">
        <v>23</v>
      </c>
      <c r="B33" s="9" t="s">
        <v>962</v>
      </c>
      <c r="C33" s="9">
        <v>6.71</v>
      </c>
      <c r="D33" s="9">
        <v>1</v>
      </c>
      <c r="E33" s="9">
        <v>2457</v>
      </c>
      <c r="F33" s="9">
        <v>1</v>
      </c>
      <c r="G33" s="9">
        <v>24</v>
      </c>
      <c r="H33" s="9">
        <v>2.6</v>
      </c>
      <c r="I33" s="9">
        <v>87</v>
      </c>
      <c r="J33" s="9">
        <v>0.4</v>
      </c>
      <c r="K33" s="9">
        <v>0.4</v>
      </c>
      <c r="L33" s="9">
        <v>101834</v>
      </c>
      <c r="M33" s="10" t="s">
        <v>963</v>
      </c>
    </row>
    <row r="34" spans="1:13">
      <c r="A34" s="5">
        <v>24</v>
      </c>
      <c r="B34" s="6" t="s">
        <v>962</v>
      </c>
      <c r="C34" s="6">
        <v>5.71</v>
      </c>
      <c r="D34" s="6">
        <v>0</v>
      </c>
      <c r="E34" s="6">
        <v>2457</v>
      </c>
      <c r="F34" s="6">
        <v>0</v>
      </c>
      <c r="G34" s="6">
        <v>0</v>
      </c>
      <c r="H34" s="6">
        <v>2.5</v>
      </c>
      <c r="I34" s="6">
        <v>0</v>
      </c>
      <c r="J34" s="6">
        <v>0.4</v>
      </c>
      <c r="K34" s="6">
        <v>0.4</v>
      </c>
      <c r="L34" s="6">
        <v>101834</v>
      </c>
      <c r="M34" s="7" t="s">
        <v>964</v>
      </c>
    </row>
    <row r="35" spans="1:13">
      <c r="A35" s="8">
        <v>25</v>
      </c>
      <c r="B35" s="9" t="s">
        <v>965</v>
      </c>
      <c r="C35" s="9">
        <v>4.71</v>
      </c>
      <c r="D35" s="9">
        <v>0</v>
      </c>
      <c r="E35" s="9">
        <v>2457</v>
      </c>
      <c r="F35" s="9">
        <v>0</v>
      </c>
      <c r="G35" s="9">
        <v>0</v>
      </c>
      <c r="H35" s="9">
        <v>2.5</v>
      </c>
      <c r="I35" s="9">
        <v>0</v>
      </c>
      <c r="J35" s="9">
        <v>0.5</v>
      </c>
      <c r="K35" s="9">
        <v>0.4</v>
      </c>
      <c r="L35" s="9">
        <v>101834</v>
      </c>
      <c r="M35" s="10" t="s">
        <v>966</v>
      </c>
    </row>
    <row r="36" spans="1:13">
      <c r="A36" s="5">
        <v>26</v>
      </c>
      <c r="B36" s="6" t="s">
        <v>965</v>
      </c>
      <c r="C36" s="6">
        <v>3.7</v>
      </c>
      <c r="D36" s="6">
        <v>0</v>
      </c>
      <c r="E36" s="6">
        <v>2457</v>
      </c>
      <c r="F36" s="6">
        <v>0</v>
      </c>
      <c r="G36" s="6">
        <v>0</v>
      </c>
      <c r="H36" s="6">
        <v>2.6</v>
      </c>
      <c r="I36" s="6">
        <v>0</v>
      </c>
      <c r="J36" s="6">
        <v>0.4</v>
      </c>
      <c r="K36" s="6">
        <v>0.4</v>
      </c>
      <c r="L36" s="6">
        <v>101834</v>
      </c>
      <c r="M36" s="7" t="s">
        <v>967</v>
      </c>
    </row>
    <row r="37" spans="1:13">
      <c r="A37" s="8">
        <v>27</v>
      </c>
      <c r="B37" s="9" t="s">
        <v>965</v>
      </c>
      <c r="C37" s="9">
        <v>2.68</v>
      </c>
      <c r="D37" s="9">
        <v>1</v>
      </c>
      <c r="E37" s="9">
        <v>2458</v>
      </c>
      <c r="F37" s="9">
        <v>1</v>
      </c>
      <c r="G37" s="9">
        <v>0</v>
      </c>
      <c r="H37" s="9">
        <v>2.5</v>
      </c>
      <c r="I37" s="9">
        <v>0</v>
      </c>
      <c r="J37" s="9">
        <v>0.4</v>
      </c>
      <c r="K37" s="9">
        <v>0.4</v>
      </c>
      <c r="L37" s="9">
        <v>101834</v>
      </c>
      <c r="M37" s="10" t="s">
        <v>968</v>
      </c>
    </row>
    <row r="38" spans="1:13">
      <c r="A38" s="5">
        <v>28</v>
      </c>
      <c r="B38" s="6" t="s">
        <v>969</v>
      </c>
      <c r="C38" s="6">
        <v>1.66</v>
      </c>
      <c r="D38" s="6">
        <v>1</v>
      </c>
      <c r="E38" s="6">
        <v>2458</v>
      </c>
      <c r="F38" s="6">
        <v>0</v>
      </c>
      <c r="G38" s="6">
        <v>0</v>
      </c>
      <c r="H38" s="6">
        <v>2.5</v>
      </c>
      <c r="I38" s="6">
        <v>0</v>
      </c>
      <c r="J38" s="6">
        <v>0.4</v>
      </c>
      <c r="K38" s="6">
        <v>0.4</v>
      </c>
      <c r="L38" s="6">
        <v>101834</v>
      </c>
      <c r="M38" s="7" t="s">
        <v>970</v>
      </c>
    </row>
    <row r="39" spans="1:13">
      <c r="A39" s="11">
        <v>29</v>
      </c>
      <c r="B39" s="12" t="s">
        <v>969</v>
      </c>
      <c r="C39" s="12">
        <v>0.66</v>
      </c>
      <c r="D39" s="12">
        <v>1</v>
      </c>
      <c r="E39" s="12">
        <v>2458</v>
      </c>
      <c r="F39" s="12">
        <v>0</v>
      </c>
      <c r="G39" s="12">
        <v>0</v>
      </c>
      <c r="H39" s="12">
        <v>2.7</v>
      </c>
      <c r="I39" s="12">
        <v>0</v>
      </c>
      <c r="J39" s="12">
        <v>0.4</v>
      </c>
      <c r="K39" s="12">
        <v>0.3</v>
      </c>
      <c r="L39" s="12">
        <v>101834</v>
      </c>
      <c r="M39" s="13" t="s">
        <v>971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5D2A-446C-4948-A79F-7DE3520B894F}">
  <dimension ref="A1:P39"/>
  <sheetViews>
    <sheetView zoomScale="70" zoomScaleNormal="70" workbookViewId="0">
      <selection activeCell="R17" sqref="R17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905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683</v>
      </c>
      <c r="C4" s="6" t="s">
        <v>13</v>
      </c>
      <c r="D4" s="6" t="s">
        <v>13</v>
      </c>
      <c r="E4" s="6" t="s">
        <v>19</v>
      </c>
      <c r="F4" s="6" t="s">
        <v>683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906</v>
      </c>
      <c r="C5" s="9" t="s">
        <v>13</v>
      </c>
      <c r="D5" s="9" t="s">
        <v>13</v>
      </c>
      <c r="E5" s="9" t="s">
        <v>22</v>
      </c>
      <c r="F5" s="9" t="s">
        <v>907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695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908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O10" s="22" t="s">
        <v>124</v>
      </c>
      <c r="P10">
        <v>10.63</v>
      </c>
    </row>
    <row r="11" spans="1:16">
      <c r="A11" s="8">
        <v>1</v>
      </c>
      <c r="B11" s="9" t="s">
        <v>695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91834</v>
      </c>
      <c r="M11" s="10" t="s">
        <v>909</v>
      </c>
      <c r="O11" s="23" t="s">
        <v>127</v>
      </c>
      <c r="P11">
        <f>SUM(F21:F27)</f>
        <v>2304</v>
      </c>
    </row>
    <row r="12" spans="1:16">
      <c r="A12" s="5">
        <v>2</v>
      </c>
      <c r="B12" s="6" t="s">
        <v>695</v>
      </c>
      <c r="C12" s="6">
        <v>1.01</v>
      </c>
      <c r="D12" s="6">
        <v>0</v>
      </c>
      <c r="E12" s="6">
        <v>1</v>
      </c>
      <c r="F12" s="6">
        <v>1</v>
      </c>
      <c r="G12" s="6">
        <v>0</v>
      </c>
      <c r="H12" s="6">
        <v>2.2000000000000002</v>
      </c>
      <c r="I12" s="6">
        <v>0</v>
      </c>
      <c r="J12" s="6">
        <v>0.2</v>
      </c>
      <c r="K12" s="6">
        <v>0.3</v>
      </c>
      <c r="L12" s="6">
        <v>91834</v>
      </c>
      <c r="M12" s="7" t="s">
        <v>909</v>
      </c>
      <c r="O12" s="23" t="s">
        <v>125</v>
      </c>
      <c r="P12">
        <f>AVERAGE(H21:H25)</f>
        <v>0.4</v>
      </c>
    </row>
    <row r="13" spans="1:16">
      <c r="A13" s="8">
        <v>3</v>
      </c>
      <c r="B13" s="9" t="s">
        <v>910</v>
      </c>
      <c r="C13" s="9">
        <v>2.0099999999999998</v>
      </c>
      <c r="D13" s="9">
        <v>1</v>
      </c>
      <c r="E13" s="9">
        <v>1</v>
      </c>
      <c r="F13" s="9">
        <v>0</v>
      </c>
      <c r="G13" s="9">
        <v>0</v>
      </c>
      <c r="H13" s="9">
        <v>2.2999999999999998</v>
      </c>
      <c r="I13" s="9">
        <v>0</v>
      </c>
      <c r="J13" s="9">
        <v>0.2</v>
      </c>
      <c r="K13" s="9">
        <v>0.3</v>
      </c>
      <c r="L13" s="9">
        <v>91834</v>
      </c>
      <c r="M13" s="10" t="s">
        <v>911</v>
      </c>
      <c r="O13" s="23" t="s">
        <v>126</v>
      </c>
      <c r="P13">
        <f>AVERAGE(H26:H29)</f>
        <v>0.75</v>
      </c>
    </row>
    <row r="14" spans="1:16">
      <c r="A14" s="5">
        <v>4</v>
      </c>
      <c r="B14" s="6" t="s">
        <v>910</v>
      </c>
      <c r="C14" s="6">
        <v>3.02</v>
      </c>
      <c r="D14" s="6">
        <v>1</v>
      </c>
      <c r="E14" s="6">
        <v>1</v>
      </c>
      <c r="F14" s="6">
        <v>0</v>
      </c>
      <c r="G14" s="6">
        <v>0</v>
      </c>
      <c r="H14" s="6">
        <v>2.2000000000000002</v>
      </c>
      <c r="I14" s="6">
        <v>0</v>
      </c>
      <c r="J14" s="6">
        <v>0.3</v>
      </c>
      <c r="K14" s="6">
        <v>0.3</v>
      </c>
      <c r="L14" s="6">
        <v>91834</v>
      </c>
      <c r="M14" s="7" t="s">
        <v>912</v>
      </c>
    </row>
    <row r="15" spans="1:16">
      <c r="A15" s="8">
        <v>5</v>
      </c>
      <c r="B15" s="9" t="s">
        <v>149</v>
      </c>
      <c r="C15" s="9">
        <v>4.04</v>
      </c>
      <c r="D15" s="9">
        <v>0</v>
      </c>
      <c r="E15" s="9">
        <v>1</v>
      </c>
      <c r="F15" s="9">
        <v>0</v>
      </c>
      <c r="G15" s="9">
        <v>0</v>
      </c>
      <c r="H15" s="9">
        <v>2.2000000000000002</v>
      </c>
      <c r="I15" s="9">
        <v>0</v>
      </c>
      <c r="J15" s="9">
        <v>0.2</v>
      </c>
      <c r="K15" s="9">
        <v>0.3</v>
      </c>
      <c r="L15" s="9">
        <v>91834</v>
      </c>
      <c r="M15" s="10" t="s">
        <v>913</v>
      </c>
    </row>
    <row r="16" spans="1:16">
      <c r="A16" s="5">
        <v>6</v>
      </c>
      <c r="B16" s="6" t="s">
        <v>149</v>
      </c>
      <c r="C16" s="6">
        <v>5.0599999999999996</v>
      </c>
      <c r="D16" s="6">
        <v>1</v>
      </c>
      <c r="E16" s="6">
        <v>2</v>
      </c>
      <c r="F16" s="6">
        <v>1</v>
      </c>
      <c r="G16" s="6">
        <v>24</v>
      </c>
      <c r="H16" s="6">
        <v>2.4</v>
      </c>
      <c r="I16" s="6">
        <v>87</v>
      </c>
      <c r="J16" s="6">
        <v>0.2</v>
      </c>
      <c r="K16" s="6">
        <v>0.3</v>
      </c>
      <c r="L16" s="6">
        <v>91834</v>
      </c>
      <c r="M16" s="7" t="s">
        <v>914</v>
      </c>
    </row>
    <row r="17" spans="1:13">
      <c r="A17" s="8">
        <v>7</v>
      </c>
      <c r="B17" s="9" t="s">
        <v>697</v>
      </c>
      <c r="C17" s="9">
        <v>6.08</v>
      </c>
      <c r="D17" s="9">
        <v>0</v>
      </c>
      <c r="E17" s="9">
        <v>2</v>
      </c>
      <c r="F17" s="9">
        <v>0</v>
      </c>
      <c r="G17" s="9">
        <v>24</v>
      </c>
      <c r="H17" s="9">
        <v>2.4</v>
      </c>
      <c r="I17" s="9">
        <v>87</v>
      </c>
      <c r="J17" s="9">
        <v>0.1</v>
      </c>
      <c r="K17" s="9">
        <v>0.4</v>
      </c>
      <c r="L17" s="9">
        <v>91834</v>
      </c>
      <c r="M17" s="10" t="s">
        <v>915</v>
      </c>
    </row>
    <row r="18" spans="1:13">
      <c r="A18" s="5">
        <v>8</v>
      </c>
      <c r="B18" s="6" t="s">
        <v>697</v>
      </c>
      <c r="C18" s="6">
        <v>7.09</v>
      </c>
      <c r="D18" s="6">
        <v>0</v>
      </c>
      <c r="E18" s="6">
        <v>2</v>
      </c>
      <c r="F18" s="6">
        <v>0</v>
      </c>
      <c r="G18" s="6">
        <v>24</v>
      </c>
      <c r="H18" s="6">
        <v>2.4</v>
      </c>
      <c r="I18" s="6">
        <v>86</v>
      </c>
      <c r="J18" s="6">
        <v>0.1</v>
      </c>
      <c r="K18" s="6">
        <v>0.3</v>
      </c>
      <c r="L18" s="6">
        <v>91834</v>
      </c>
      <c r="M18" s="7" t="s">
        <v>916</v>
      </c>
    </row>
    <row r="19" spans="1:13">
      <c r="A19" s="8">
        <v>9</v>
      </c>
      <c r="B19" s="9" t="s">
        <v>917</v>
      </c>
      <c r="C19" s="9">
        <v>8.09</v>
      </c>
      <c r="D19" s="9">
        <v>0</v>
      </c>
      <c r="E19" s="9">
        <v>3</v>
      </c>
      <c r="F19" s="9">
        <v>1</v>
      </c>
      <c r="G19" s="9">
        <v>24</v>
      </c>
      <c r="H19" s="9">
        <v>2.4</v>
      </c>
      <c r="I19" s="9">
        <v>86</v>
      </c>
      <c r="J19" s="9">
        <v>0.2</v>
      </c>
      <c r="K19" s="9">
        <v>0.3</v>
      </c>
      <c r="L19" s="9">
        <v>91834</v>
      </c>
      <c r="M19" s="10" t="s">
        <v>918</v>
      </c>
    </row>
    <row r="20" spans="1:13">
      <c r="A20" s="5">
        <v>10</v>
      </c>
      <c r="B20" s="6" t="s">
        <v>917</v>
      </c>
      <c r="C20" s="6">
        <v>9.09</v>
      </c>
      <c r="D20" s="6">
        <v>0</v>
      </c>
      <c r="E20" s="6">
        <v>3</v>
      </c>
      <c r="F20" s="6">
        <v>0</v>
      </c>
      <c r="G20" s="6">
        <v>24</v>
      </c>
      <c r="H20" s="6">
        <v>2.2999999999999998</v>
      </c>
      <c r="I20" s="6">
        <v>86</v>
      </c>
      <c r="J20" s="6">
        <v>0.3</v>
      </c>
      <c r="K20" s="6">
        <v>0.4</v>
      </c>
      <c r="L20" s="6">
        <v>91834</v>
      </c>
      <c r="M20" s="7" t="s">
        <v>919</v>
      </c>
    </row>
    <row r="21" spans="1:13">
      <c r="A21" s="15">
        <v>11</v>
      </c>
      <c r="B21" s="16" t="s">
        <v>917</v>
      </c>
      <c r="C21" s="16">
        <v>10.09</v>
      </c>
      <c r="D21" s="16">
        <v>1</v>
      </c>
      <c r="E21" s="16">
        <v>3</v>
      </c>
      <c r="F21" s="16">
        <v>0</v>
      </c>
      <c r="G21" s="16">
        <v>24</v>
      </c>
      <c r="H21" s="16">
        <v>0.4</v>
      </c>
      <c r="I21" s="16">
        <v>87</v>
      </c>
      <c r="J21" s="16">
        <v>0.1</v>
      </c>
      <c r="K21" s="16">
        <v>0.3</v>
      </c>
      <c r="L21" s="16">
        <v>91834</v>
      </c>
      <c r="M21" s="17" t="s">
        <v>920</v>
      </c>
    </row>
    <row r="22" spans="1:13">
      <c r="A22" s="5">
        <v>12</v>
      </c>
      <c r="B22" s="6" t="s">
        <v>157</v>
      </c>
      <c r="C22" s="6">
        <v>11.09</v>
      </c>
      <c r="D22" s="6">
        <v>299</v>
      </c>
      <c r="E22" s="6">
        <v>398</v>
      </c>
      <c r="F22" s="6">
        <v>395</v>
      </c>
      <c r="G22" s="6">
        <v>24</v>
      </c>
      <c r="H22" s="6">
        <v>0.4</v>
      </c>
      <c r="I22" s="6">
        <v>88</v>
      </c>
      <c r="J22" s="6">
        <v>0.2</v>
      </c>
      <c r="K22" s="6">
        <v>0.3</v>
      </c>
      <c r="L22" s="6">
        <v>91834</v>
      </c>
      <c r="M22" s="7" t="s">
        <v>921</v>
      </c>
    </row>
    <row r="23" spans="1:13">
      <c r="A23" s="8">
        <v>13</v>
      </c>
      <c r="B23" s="9" t="s">
        <v>466</v>
      </c>
      <c r="C23" s="9">
        <v>12.09</v>
      </c>
      <c r="D23" s="9">
        <v>297</v>
      </c>
      <c r="E23" s="9">
        <v>1142</v>
      </c>
      <c r="F23" s="9">
        <v>744</v>
      </c>
      <c r="G23" s="9">
        <v>24</v>
      </c>
      <c r="H23" s="9">
        <v>0.4</v>
      </c>
      <c r="I23" s="9">
        <v>92</v>
      </c>
      <c r="J23" s="9">
        <v>0.2</v>
      </c>
      <c r="K23" s="9">
        <v>0.3</v>
      </c>
      <c r="L23" s="9">
        <v>91834</v>
      </c>
      <c r="M23" s="10" t="s">
        <v>922</v>
      </c>
    </row>
    <row r="24" spans="1:13">
      <c r="A24" s="5">
        <v>14</v>
      </c>
      <c r="B24" s="6" t="s">
        <v>172</v>
      </c>
      <c r="C24" s="6">
        <v>13.09</v>
      </c>
      <c r="D24" s="6">
        <v>297</v>
      </c>
      <c r="E24" s="6">
        <v>1859</v>
      </c>
      <c r="F24" s="6">
        <v>717</v>
      </c>
      <c r="G24" s="6">
        <v>24</v>
      </c>
      <c r="H24" s="6">
        <v>0.4</v>
      </c>
      <c r="I24" s="6">
        <v>97</v>
      </c>
      <c r="J24" s="6">
        <v>0.3</v>
      </c>
      <c r="K24" s="6">
        <v>0.3</v>
      </c>
      <c r="L24" s="6">
        <v>91834</v>
      </c>
      <c r="M24" s="7" t="s">
        <v>923</v>
      </c>
    </row>
    <row r="25" spans="1:13">
      <c r="A25" s="8">
        <v>15</v>
      </c>
      <c r="B25" s="9" t="s">
        <v>175</v>
      </c>
      <c r="C25" s="9">
        <v>13.63</v>
      </c>
      <c r="D25" s="9">
        <v>298</v>
      </c>
      <c r="E25" s="9">
        <v>2252</v>
      </c>
      <c r="F25" s="9">
        <v>393</v>
      </c>
      <c r="G25" s="9">
        <v>24</v>
      </c>
      <c r="H25" s="9">
        <v>0.4</v>
      </c>
      <c r="I25" s="9">
        <v>101</v>
      </c>
      <c r="J25" s="9">
        <v>0.1</v>
      </c>
      <c r="K25" s="9">
        <v>0.3</v>
      </c>
      <c r="L25" s="9">
        <v>91834</v>
      </c>
      <c r="M25" s="10" t="s">
        <v>924</v>
      </c>
    </row>
    <row r="26" spans="1:13">
      <c r="A26" s="5">
        <v>16</v>
      </c>
      <c r="B26" s="6" t="s">
        <v>178</v>
      </c>
      <c r="C26" s="6">
        <v>13.63</v>
      </c>
      <c r="D26" s="6">
        <v>1</v>
      </c>
      <c r="E26" s="6">
        <v>2305</v>
      </c>
      <c r="F26" s="6">
        <v>53</v>
      </c>
      <c r="G26" s="6">
        <v>24</v>
      </c>
      <c r="H26" s="6">
        <v>0</v>
      </c>
      <c r="I26" s="6">
        <v>93</v>
      </c>
      <c r="J26" s="6">
        <v>0.2</v>
      </c>
      <c r="K26" s="6">
        <v>0.3</v>
      </c>
      <c r="L26" s="6">
        <v>91834</v>
      </c>
      <c r="M26" s="7" t="s">
        <v>925</v>
      </c>
    </row>
    <row r="27" spans="1:13">
      <c r="A27" s="8">
        <v>17</v>
      </c>
      <c r="B27" s="9" t="s">
        <v>187</v>
      </c>
      <c r="C27" s="9">
        <v>12.63</v>
      </c>
      <c r="D27" s="9">
        <v>1</v>
      </c>
      <c r="E27" s="9">
        <v>2307</v>
      </c>
      <c r="F27" s="9">
        <v>2</v>
      </c>
      <c r="G27" s="9">
        <v>24</v>
      </c>
      <c r="H27" s="9">
        <v>1</v>
      </c>
      <c r="I27" s="9">
        <v>93</v>
      </c>
      <c r="J27" s="9">
        <v>0.2</v>
      </c>
      <c r="K27" s="9">
        <v>0.3</v>
      </c>
      <c r="L27" s="9">
        <v>91834</v>
      </c>
      <c r="M27" s="10" t="s">
        <v>926</v>
      </c>
    </row>
    <row r="28" spans="1:13">
      <c r="A28" s="5">
        <v>18</v>
      </c>
      <c r="B28" s="6" t="s">
        <v>191</v>
      </c>
      <c r="C28" s="6">
        <v>11.63</v>
      </c>
      <c r="D28" s="6">
        <v>1</v>
      </c>
      <c r="E28" s="6">
        <v>2307</v>
      </c>
      <c r="F28" s="6">
        <v>0</v>
      </c>
      <c r="G28" s="6">
        <v>24</v>
      </c>
      <c r="H28" s="6">
        <v>1</v>
      </c>
      <c r="I28" s="6">
        <v>87</v>
      </c>
      <c r="J28" s="6">
        <v>0.2</v>
      </c>
      <c r="K28" s="6">
        <v>0.3</v>
      </c>
      <c r="L28" s="6">
        <v>91834</v>
      </c>
      <c r="M28" s="7" t="s">
        <v>713</v>
      </c>
    </row>
    <row r="29" spans="1:13">
      <c r="A29" s="8">
        <v>19</v>
      </c>
      <c r="B29" s="9" t="s">
        <v>134</v>
      </c>
      <c r="C29" s="9">
        <v>10.63</v>
      </c>
      <c r="D29" s="9">
        <v>1</v>
      </c>
      <c r="E29" s="9">
        <v>2308</v>
      </c>
      <c r="F29" s="9">
        <v>1</v>
      </c>
      <c r="G29" s="9">
        <v>24</v>
      </c>
      <c r="H29" s="9">
        <v>1</v>
      </c>
      <c r="I29" s="9">
        <v>88</v>
      </c>
      <c r="J29" s="9">
        <v>0.2</v>
      </c>
      <c r="K29" s="9">
        <v>0.3</v>
      </c>
      <c r="L29" s="9">
        <v>91834</v>
      </c>
      <c r="M29" s="10" t="s">
        <v>927</v>
      </c>
    </row>
    <row r="30" spans="1:13">
      <c r="A30" s="5">
        <v>20</v>
      </c>
      <c r="B30" s="6" t="s">
        <v>134</v>
      </c>
      <c r="C30" s="6">
        <v>9.6199999999999992</v>
      </c>
      <c r="D30" s="6">
        <v>1</v>
      </c>
      <c r="E30" s="6">
        <v>2309</v>
      </c>
      <c r="F30" s="6">
        <v>1</v>
      </c>
      <c r="G30" s="6">
        <v>24</v>
      </c>
      <c r="H30" s="6">
        <v>2.6</v>
      </c>
      <c r="I30" s="6">
        <v>87</v>
      </c>
      <c r="J30" s="6">
        <v>0.2</v>
      </c>
      <c r="K30" s="6">
        <v>0.3</v>
      </c>
      <c r="L30" s="6">
        <v>91834</v>
      </c>
      <c r="M30" s="7" t="s">
        <v>474</v>
      </c>
    </row>
    <row r="31" spans="1:13">
      <c r="A31" s="8">
        <v>21</v>
      </c>
      <c r="B31" s="9" t="s">
        <v>475</v>
      </c>
      <c r="C31" s="9">
        <v>8.6199999999999992</v>
      </c>
      <c r="D31" s="9">
        <v>0</v>
      </c>
      <c r="E31" s="9">
        <v>2309</v>
      </c>
      <c r="F31" s="9">
        <v>0</v>
      </c>
      <c r="G31" s="9">
        <v>24</v>
      </c>
      <c r="H31" s="9">
        <v>2.6</v>
      </c>
      <c r="I31" s="9">
        <v>87</v>
      </c>
      <c r="J31" s="9">
        <v>0.1</v>
      </c>
      <c r="K31" s="9">
        <v>0.3</v>
      </c>
      <c r="L31" s="9">
        <v>91834</v>
      </c>
      <c r="M31" s="10" t="s">
        <v>928</v>
      </c>
    </row>
    <row r="32" spans="1:13">
      <c r="A32" s="5">
        <v>22</v>
      </c>
      <c r="B32" s="6" t="s">
        <v>475</v>
      </c>
      <c r="C32" s="6">
        <v>7.6</v>
      </c>
      <c r="D32" s="6">
        <v>1</v>
      </c>
      <c r="E32" s="6">
        <v>2309</v>
      </c>
      <c r="F32" s="6">
        <v>0</v>
      </c>
      <c r="G32" s="6">
        <v>24</v>
      </c>
      <c r="H32" s="6">
        <v>2.6</v>
      </c>
      <c r="I32" s="6">
        <v>87</v>
      </c>
      <c r="J32" s="6">
        <v>0.2</v>
      </c>
      <c r="K32" s="6">
        <v>0.3</v>
      </c>
      <c r="L32" s="6">
        <v>91834</v>
      </c>
      <c r="M32" s="7" t="s">
        <v>929</v>
      </c>
    </row>
    <row r="33" spans="1:13">
      <c r="A33" s="8">
        <v>23</v>
      </c>
      <c r="B33" s="9" t="s">
        <v>475</v>
      </c>
      <c r="C33" s="9">
        <v>6.6</v>
      </c>
      <c r="D33" s="9">
        <v>1</v>
      </c>
      <c r="E33" s="9">
        <v>2309</v>
      </c>
      <c r="F33" s="9">
        <v>0</v>
      </c>
      <c r="G33" s="9">
        <v>24</v>
      </c>
      <c r="H33" s="9">
        <v>2.6</v>
      </c>
      <c r="I33" s="9">
        <v>87</v>
      </c>
      <c r="J33" s="9">
        <v>0.1</v>
      </c>
      <c r="K33" s="9">
        <v>0.3</v>
      </c>
      <c r="L33" s="9">
        <v>91834</v>
      </c>
      <c r="M33" s="10" t="s">
        <v>930</v>
      </c>
    </row>
    <row r="34" spans="1:13">
      <c r="A34" s="5">
        <v>24</v>
      </c>
      <c r="B34" s="6" t="s">
        <v>479</v>
      </c>
      <c r="C34" s="6">
        <v>5.6</v>
      </c>
      <c r="D34" s="6">
        <v>1</v>
      </c>
      <c r="E34" s="6">
        <v>2310</v>
      </c>
      <c r="F34" s="6">
        <v>1</v>
      </c>
      <c r="G34" s="6">
        <v>0</v>
      </c>
      <c r="H34" s="6">
        <v>2.6</v>
      </c>
      <c r="I34" s="6">
        <v>0</v>
      </c>
      <c r="J34" s="6">
        <v>0.2</v>
      </c>
      <c r="K34" s="6">
        <v>0.3</v>
      </c>
      <c r="L34" s="6">
        <v>91834</v>
      </c>
      <c r="M34" s="7" t="s">
        <v>931</v>
      </c>
    </row>
    <row r="35" spans="1:13">
      <c r="A35" s="8">
        <v>25</v>
      </c>
      <c r="B35" s="9" t="s">
        <v>479</v>
      </c>
      <c r="C35" s="9">
        <v>4.5999999999999996</v>
      </c>
      <c r="D35" s="9">
        <v>1</v>
      </c>
      <c r="E35" s="9">
        <v>2310</v>
      </c>
      <c r="F35" s="9">
        <v>0</v>
      </c>
      <c r="G35" s="9">
        <v>0</v>
      </c>
      <c r="H35" s="9">
        <v>2.7</v>
      </c>
      <c r="I35" s="9">
        <v>0</v>
      </c>
      <c r="J35" s="9">
        <v>0.2</v>
      </c>
      <c r="K35" s="9">
        <v>0.3</v>
      </c>
      <c r="L35" s="9">
        <v>91834</v>
      </c>
      <c r="M35" s="10" t="s">
        <v>932</v>
      </c>
    </row>
    <row r="36" spans="1:13">
      <c r="A36" s="5">
        <v>26</v>
      </c>
      <c r="B36" s="6" t="s">
        <v>449</v>
      </c>
      <c r="C36" s="6">
        <v>3.58</v>
      </c>
      <c r="D36" s="6">
        <v>1</v>
      </c>
      <c r="E36" s="6">
        <v>2310</v>
      </c>
      <c r="F36" s="6">
        <v>0</v>
      </c>
      <c r="G36" s="6">
        <v>0</v>
      </c>
      <c r="H36" s="6">
        <v>2.7</v>
      </c>
      <c r="I36" s="6">
        <v>0</v>
      </c>
      <c r="J36" s="6">
        <v>0.1</v>
      </c>
      <c r="K36" s="6">
        <v>0.3</v>
      </c>
      <c r="L36" s="6">
        <v>91834</v>
      </c>
      <c r="M36" s="7" t="s">
        <v>933</v>
      </c>
    </row>
    <row r="37" spans="1:13">
      <c r="A37" s="8">
        <v>27</v>
      </c>
      <c r="B37" s="9" t="s">
        <v>449</v>
      </c>
      <c r="C37" s="9">
        <v>2.58</v>
      </c>
      <c r="D37" s="9">
        <v>1</v>
      </c>
      <c r="E37" s="9">
        <v>2310</v>
      </c>
      <c r="F37" s="9">
        <v>0</v>
      </c>
      <c r="G37" s="9">
        <v>0</v>
      </c>
      <c r="H37" s="9">
        <v>2.6</v>
      </c>
      <c r="I37" s="9">
        <v>0</v>
      </c>
      <c r="J37" s="9">
        <v>0.2</v>
      </c>
      <c r="K37" s="9">
        <v>0.3</v>
      </c>
      <c r="L37" s="9">
        <v>91834</v>
      </c>
      <c r="M37" s="10" t="s">
        <v>934</v>
      </c>
    </row>
    <row r="38" spans="1:13">
      <c r="A38" s="5">
        <v>28</v>
      </c>
      <c r="B38" s="6" t="s">
        <v>449</v>
      </c>
      <c r="C38" s="6">
        <v>1.56</v>
      </c>
      <c r="D38" s="6">
        <v>1</v>
      </c>
      <c r="E38" s="6">
        <v>2311</v>
      </c>
      <c r="F38" s="6">
        <v>1</v>
      </c>
      <c r="G38" s="6">
        <v>0</v>
      </c>
      <c r="H38" s="6">
        <v>2.6</v>
      </c>
      <c r="I38" s="6">
        <v>0</v>
      </c>
      <c r="J38" s="6">
        <v>0.2</v>
      </c>
      <c r="K38" s="6">
        <v>0.3</v>
      </c>
      <c r="L38" s="6">
        <v>91834</v>
      </c>
      <c r="M38" s="7" t="s">
        <v>935</v>
      </c>
    </row>
    <row r="39" spans="1:13">
      <c r="A39" s="11">
        <v>29</v>
      </c>
      <c r="B39" s="12" t="s">
        <v>908</v>
      </c>
      <c r="C39" s="12">
        <v>0.55000000000000004</v>
      </c>
      <c r="D39" s="12">
        <v>0</v>
      </c>
      <c r="E39" s="12">
        <v>2311</v>
      </c>
      <c r="F39" s="12">
        <v>0</v>
      </c>
      <c r="G39" s="12">
        <v>0</v>
      </c>
      <c r="H39" s="12">
        <v>2.6</v>
      </c>
      <c r="I39" s="12">
        <v>0</v>
      </c>
      <c r="J39" s="12">
        <v>0.2</v>
      </c>
      <c r="K39" s="12">
        <v>0.3</v>
      </c>
      <c r="L39" s="12">
        <v>91834</v>
      </c>
      <c r="M39" s="13" t="s">
        <v>936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27A9-77BE-4AF4-8C0F-842776B5E477}">
  <dimension ref="A1:P38"/>
  <sheetViews>
    <sheetView zoomScale="70" zoomScaleNormal="70" workbookViewId="0">
      <selection activeCell="R17" sqref="R17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874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875</v>
      </c>
      <c r="C4" s="6" t="s">
        <v>13</v>
      </c>
      <c r="D4" s="6" t="s">
        <v>13</v>
      </c>
      <c r="E4" s="6" t="s">
        <v>19</v>
      </c>
      <c r="F4" s="6" t="s">
        <v>875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876</v>
      </c>
      <c r="C5" s="9" t="s">
        <v>13</v>
      </c>
      <c r="D5" s="9" t="s">
        <v>13</v>
      </c>
      <c r="E5" s="9" t="s">
        <v>22</v>
      </c>
      <c r="F5" s="9" t="s">
        <v>877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66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646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O10" s="22" t="s">
        <v>124</v>
      </c>
      <c r="P10">
        <v>10.54</v>
      </c>
    </row>
    <row r="11" spans="1:16">
      <c r="A11" s="8">
        <v>1</v>
      </c>
      <c r="B11" s="9" t="s">
        <v>649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81834</v>
      </c>
      <c r="M11" s="10" t="s">
        <v>878</v>
      </c>
      <c r="O11" s="23" t="s">
        <v>127</v>
      </c>
      <c r="P11">
        <f>SUM(F21:F26)</f>
        <v>2310</v>
      </c>
    </row>
    <row r="12" spans="1:16">
      <c r="A12" s="5">
        <v>2</v>
      </c>
      <c r="B12" s="6" t="s">
        <v>649</v>
      </c>
      <c r="C12" s="6">
        <v>1.01</v>
      </c>
      <c r="D12" s="6">
        <v>1</v>
      </c>
      <c r="E12" s="6">
        <v>0</v>
      </c>
      <c r="F12" s="6">
        <v>0</v>
      </c>
      <c r="G12" s="6">
        <v>0</v>
      </c>
      <c r="H12" s="6">
        <v>2.4</v>
      </c>
      <c r="I12" s="6">
        <v>0</v>
      </c>
      <c r="J12" s="6">
        <v>-0.1</v>
      </c>
      <c r="K12" s="6">
        <v>0.2</v>
      </c>
      <c r="L12" s="6">
        <v>81834</v>
      </c>
      <c r="M12" s="7" t="s">
        <v>878</v>
      </c>
      <c r="O12" s="23" t="s">
        <v>125</v>
      </c>
      <c r="P12">
        <f>AVERAGE(H21:H25)</f>
        <v>0.4</v>
      </c>
    </row>
    <row r="13" spans="1:16">
      <c r="A13" s="8">
        <v>3</v>
      </c>
      <c r="B13" s="9" t="s">
        <v>69</v>
      </c>
      <c r="C13" s="9">
        <v>2.0299999999999998</v>
      </c>
      <c r="D13" s="9">
        <v>0</v>
      </c>
      <c r="E13" s="9">
        <v>1</v>
      </c>
      <c r="F13" s="9">
        <v>1</v>
      </c>
      <c r="G13" s="9">
        <v>0</v>
      </c>
      <c r="H13" s="9">
        <v>2.4</v>
      </c>
      <c r="I13" s="9">
        <v>0</v>
      </c>
      <c r="J13" s="9">
        <v>0.1</v>
      </c>
      <c r="K13" s="9">
        <v>0.2</v>
      </c>
      <c r="L13" s="9">
        <v>81834</v>
      </c>
      <c r="M13" s="10" t="s">
        <v>879</v>
      </c>
      <c r="O13" s="23" t="s">
        <v>126</v>
      </c>
      <c r="P13">
        <f>AVERAGE(H26:H28)</f>
        <v>1.1000000000000001</v>
      </c>
    </row>
    <row r="14" spans="1:16">
      <c r="A14" s="5">
        <v>4</v>
      </c>
      <c r="B14" s="6" t="s">
        <v>69</v>
      </c>
      <c r="C14" s="6">
        <v>3.03</v>
      </c>
      <c r="D14" s="6">
        <v>1</v>
      </c>
      <c r="E14" s="6">
        <v>1</v>
      </c>
      <c r="F14" s="6">
        <v>0</v>
      </c>
      <c r="G14" s="6">
        <v>0</v>
      </c>
      <c r="H14" s="6">
        <v>2.2999999999999998</v>
      </c>
      <c r="I14" s="6">
        <v>0</v>
      </c>
      <c r="J14" s="6">
        <v>-0.1</v>
      </c>
      <c r="K14" s="6">
        <v>0.3</v>
      </c>
      <c r="L14" s="6">
        <v>81834</v>
      </c>
      <c r="M14" s="7" t="s">
        <v>880</v>
      </c>
    </row>
    <row r="15" spans="1:16">
      <c r="A15" s="8">
        <v>5</v>
      </c>
      <c r="B15" s="9" t="s">
        <v>69</v>
      </c>
      <c r="C15" s="9">
        <v>4.03</v>
      </c>
      <c r="D15" s="9">
        <v>1</v>
      </c>
      <c r="E15" s="9">
        <v>1</v>
      </c>
      <c r="F15" s="9">
        <v>0</v>
      </c>
      <c r="G15" s="9">
        <v>0</v>
      </c>
      <c r="H15" s="9">
        <v>2.2999999999999998</v>
      </c>
      <c r="I15" s="9">
        <v>0</v>
      </c>
      <c r="J15" s="9">
        <v>-0.1</v>
      </c>
      <c r="K15" s="9">
        <v>0.2</v>
      </c>
      <c r="L15" s="9">
        <v>81834</v>
      </c>
      <c r="M15" s="10" t="s">
        <v>881</v>
      </c>
    </row>
    <row r="16" spans="1:16">
      <c r="A16" s="5">
        <v>6</v>
      </c>
      <c r="B16" s="6" t="s">
        <v>658</v>
      </c>
      <c r="C16" s="6">
        <v>5.04</v>
      </c>
      <c r="D16" s="6">
        <v>1</v>
      </c>
      <c r="E16" s="6">
        <v>2</v>
      </c>
      <c r="F16" s="6">
        <v>1</v>
      </c>
      <c r="G16" s="6">
        <v>24</v>
      </c>
      <c r="H16" s="6">
        <v>2.2999999999999998</v>
      </c>
      <c r="I16" s="6">
        <v>87</v>
      </c>
      <c r="J16" s="6">
        <v>-0.2</v>
      </c>
      <c r="K16" s="6">
        <v>0.4</v>
      </c>
      <c r="L16" s="6">
        <v>81834</v>
      </c>
      <c r="M16" s="7" t="s">
        <v>882</v>
      </c>
    </row>
    <row r="17" spans="1:13">
      <c r="A17" s="8">
        <v>7</v>
      </c>
      <c r="B17" s="9" t="s">
        <v>658</v>
      </c>
      <c r="C17" s="9">
        <v>6.04</v>
      </c>
      <c r="D17" s="9">
        <v>1</v>
      </c>
      <c r="E17" s="9">
        <v>2</v>
      </c>
      <c r="F17" s="9">
        <v>0</v>
      </c>
      <c r="G17" s="9">
        <v>24</v>
      </c>
      <c r="H17" s="9">
        <v>2.2999999999999998</v>
      </c>
      <c r="I17" s="9">
        <v>87</v>
      </c>
      <c r="J17" s="9">
        <v>-0.1</v>
      </c>
      <c r="K17" s="9">
        <v>0.2</v>
      </c>
      <c r="L17" s="9">
        <v>81834</v>
      </c>
      <c r="M17" s="10" t="s">
        <v>883</v>
      </c>
    </row>
    <row r="18" spans="1:13">
      <c r="A18" s="5">
        <v>8</v>
      </c>
      <c r="B18" s="6" t="s">
        <v>661</v>
      </c>
      <c r="C18" s="6">
        <v>7.04</v>
      </c>
      <c r="D18" s="6">
        <v>1</v>
      </c>
      <c r="E18" s="6">
        <v>2</v>
      </c>
      <c r="F18" s="6">
        <v>0</v>
      </c>
      <c r="G18" s="6">
        <v>24</v>
      </c>
      <c r="H18" s="6">
        <v>2.2000000000000002</v>
      </c>
      <c r="I18" s="6">
        <v>87</v>
      </c>
      <c r="J18" s="6">
        <v>-0.2</v>
      </c>
      <c r="K18" s="6">
        <v>0.3</v>
      </c>
      <c r="L18" s="6">
        <v>81834</v>
      </c>
      <c r="M18" s="7" t="s">
        <v>884</v>
      </c>
    </row>
    <row r="19" spans="1:13">
      <c r="A19" s="8">
        <v>9</v>
      </c>
      <c r="B19" s="9" t="s">
        <v>661</v>
      </c>
      <c r="C19" s="9">
        <v>8.0500000000000007</v>
      </c>
      <c r="D19" s="9">
        <v>1</v>
      </c>
      <c r="E19" s="9">
        <v>3</v>
      </c>
      <c r="F19" s="9">
        <v>1</v>
      </c>
      <c r="G19" s="9">
        <v>24</v>
      </c>
      <c r="H19" s="9">
        <v>2.2999999999999998</v>
      </c>
      <c r="I19" s="9">
        <v>86</v>
      </c>
      <c r="J19" s="9">
        <v>-0.1</v>
      </c>
      <c r="K19" s="9">
        <v>0.2</v>
      </c>
      <c r="L19" s="9">
        <v>81834</v>
      </c>
      <c r="M19" s="10" t="s">
        <v>885</v>
      </c>
    </row>
    <row r="20" spans="1:13">
      <c r="A20" s="5">
        <v>10</v>
      </c>
      <c r="B20" s="6" t="s">
        <v>72</v>
      </c>
      <c r="C20" s="6">
        <v>9.07</v>
      </c>
      <c r="D20" s="6">
        <v>0</v>
      </c>
      <c r="E20" s="6">
        <v>3</v>
      </c>
      <c r="F20" s="6">
        <v>0</v>
      </c>
      <c r="G20" s="6">
        <v>24</v>
      </c>
      <c r="H20" s="6">
        <v>2.2000000000000002</v>
      </c>
      <c r="I20" s="6">
        <v>86</v>
      </c>
      <c r="J20" s="6">
        <v>-0.1</v>
      </c>
      <c r="K20" s="6">
        <v>0.2</v>
      </c>
      <c r="L20" s="6">
        <v>81834</v>
      </c>
      <c r="M20" s="7" t="s">
        <v>886</v>
      </c>
    </row>
    <row r="21" spans="1:13">
      <c r="A21" s="15">
        <v>11</v>
      </c>
      <c r="B21" s="16" t="s">
        <v>72</v>
      </c>
      <c r="C21" s="16">
        <v>10.07</v>
      </c>
      <c r="D21" s="16">
        <v>1</v>
      </c>
      <c r="E21" s="16">
        <v>3</v>
      </c>
      <c r="F21" s="16">
        <v>0</v>
      </c>
      <c r="G21" s="16">
        <v>24</v>
      </c>
      <c r="H21" s="16">
        <v>0.4</v>
      </c>
      <c r="I21" s="16">
        <v>86</v>
      </c>
      <c r="J21" s="16">
        <v>0</v>
      </c>
      <c r="K21" s="16">
        <v>0.2</v>
      </c>
      <c r="L21" s="16">
        <v>81834</v>
      </c>
      <c r="M21" s="17" t="s">
        <v>887</v>
      </c>
    </row>
    <row r="22" spans="1:13">
      <c r="A22" s="5">
        <v>12</v>
      </c>
      <c r="B22" s="6" t="s">
        <v>888</v>
      </c>
      <c r="C22" s="6">
        <v>11.07</v>
      </c>
      <c r="D22" s="6">
        <v>295</v>
      </c>
      <c r="E22" s="6">
        <v>434</v>
      </c>
      <c r="F22" s="6">
        <v>431</v>
      </c>
      <c r="G22" s="6">
        <v>24</v>
      </c>
      <c r="H22" s="6">
        <v>0.4</v>
      </c>
      <c r="I22" s="6">
        <v>86</v>
      </c>
      <c r="J22" s="6">
        <v>-0.1</v>
      </c>
      <c r="K22" s="6">
        <v>0.2</v>
      </c>
      <c r="L22" s="6">
        <v>81834</v>
      </c>
      <c r="M22" s="7" t="s">
        <v>889</v>
      </c>
    </row>
    <row r="23" spans="1:13">
      <c r="A23" s="8">
        <v>13</v>
      </c>
      <c r="B23" s="9" t="s">
        <v>80</v>
      </c>
      <c r="C23" s="9">
        <v>12.07</v>
      </c>
      <c r="D23" s="9">
        <v>296</v>
      </c>
      <c r="E23" s="9">
        <v>1189</v>
      </c>
      <c r="F23" s="9">
        <v>755</v>
      </c>
      <c r="G23" s="9">
        <v>24</v>
      </c>
      <c r="H23" s="9">
        <v>0.4</v>
      </c>
      <c r="I23" s="9">
        <v>89</v>
      </c>
      <c r="J23" s="9">
        <v>0.1</v>
      </c>
      <c r="K23" s="9">
        <v>0.3</v>
      </c>
      <c r="L23" s="9">
        <v>81834</v>
      </c>
      <c r="M23" s="10" t="s">
        <v>890</v>
      </c>
    </row>
    <row r="24" spans="1:13">
      <c r="A24" s="5">
        <v>14</v>
      </c>
      <c r="B24" s="6" t="s">
        <v>891</v>
      </c>
      <c r="C24" s="6">
        <v>13.07</v>
      </c>
      <c r="D24" s="6">
        <v>297</v>
      </c>
      <c r="E24" s="6">
        <v>1930</v>
      </c>
      <c r="F24" s="6">
        <v>741</v>
      </c>
      <c r="G24" s="6">
        <v>24</v>
      </c>
      <c r="H24" s="6">
        <v>0.4</v>
      </c>
      <c r="I24" s="6">
        <v>95</v>
      </c>
      <c r="J24" s="6">
        <v>-0.1</v>
      </c>
      <c r="K24" s="6">
        <v>0.3</v>
      </c>
      <c r="L24" s="6">
        <v>81834</v>
      </c>
      <c r="M24" s="7" t="s">
        <v>892</v>
      </c>
    </row>
    <row r="25" spans="1:13">
      <c r="A25" s="8">
        <v>15</v>
      </c>
      <c r="B25" s="9" t="s">
        <v>91</v>
      </c>
      <c r="C25" s="9">
        <v>13.54</v>
      </c>
      <c r="D25" s="9">
        <v>290</v>
      </c>
      <c r="E25" s="9">
        <v>2269</v>
      </c>
      <c r="F25" s="9">
        <v>339</v>
      </c>
      <c r="G25" s="9">
        <v>24</v>
      </c>
      <c r="H25" s="9">
        <v>0.4</v>
      </c>
      <c r="I25" s="9">
        <v>98</v>
      </c>
      <c r="J25" s="9">
        <v>0.1</v>
      </c>
      <c r="K25" s="9">
        <v>0.2</v>
      </c>
      <c r="L25" s="9">
        <v>81834</v>
      </c>
      <c r="M25" s="10" t="s">
        <v>893</v>
      </c>
    </row>
    <row r="26" spans="1:13">
      <c r="A26" s="5">
        <v>16</v>
      </c>
      <c r="B26" s="6" t="s">
        <v>99</v>
      </c>
      <c r="C26" s="6">
        <v>12.54</v>
      </c>
      <c r="D26" s="6">
        <v>1</v>
      </c>
      <c r="E26" s="6">
        <v>2313</v>
      </c>
      <c r="F26" s="6">
        <v>44</v>
      </c>
      <c r="G26" s="6">
        <v>24</v>
      </c>
      <c r="H26" s="6">
        <v>1.1000000000000001</v>
      </c>
      <c r="I26" s="6">
        <v>91</v>
      </c>
      <c r="J26" s="6">
        <v>-0.1</v>
      </c>
      <c r="K26" s="6">
        <v>0.3</v>
      </c>
      <c r="L26" s="6">
        <v>81834</v>
      </c>
      <c r="M26" s="7" t="s">
        <v>894</v>
      </c>
    </row>
    <row r="27" spans="1:13">
      <c r="A27" s="8">
        <v>17</v>
      </c>
      <c r="B27" s="9" t="s">
        <v>102</v>
      </c>
      <c r="C27" s="9">
        <v>11.54</v>
      </c>
      <c r="D27" s="9">
        <v>1</v>
      </c>
      <c r="E27" s="9">
        <v>2313</v>
      </c>
      <c r="F27" s="9">
        <v>0</v>
      </c>
      <c r="G27" s="9">
        <v>24</v>
      </c>
      <c r="H27" s="9">
        <v>1.1000000000000001</v>
      </c>
      <c r="I27" s="9">
        <v>87</v>
      </c>
      <c r="J27" s="9">
        <v>0</v>
      </c>
      <c r="K27" s="9">
        <v>0.2</v>
      </c>
      <c r="L27" s="9">
        <v>81834</v>
      </c>
      <c r="M27" s="10" t="s">
        <v>895</v>
      </c>
    </row>
    <row r="28" spans="1:13">
      <c r="A28" s="5">
        <v>18</v>
      </c>
      <c r="B28" s="6" t="s">
        <v>107</v>
      </c>
      <c r="C28" s="6">
        <v>10.54</v>
      </c>
      <c r="D28" s="6">
        <v>1</v>
      </c>
      <c r="E28" s="6">
        <v>2314</v>
      </c>
      <c r="F28" s="6">
        <v>1</v>
      </c>
      <c r="G28" s="6">
        <v>24</v>
      </c>
      <c r="H28" s="6">
        <v>1.1000000000000001</v>
      </c>
      <c r="I28" s="6">
        <v>87</v>
      </c>
      <c r="J28" s="6">
        <v>0.1</v>
      </c>
      <c r="K28" s="6">
        <v>0.2</v>
      </c>
      <c r="L28" s="6">
        <v>81834</v>
      </c>
      <c r="M28" s="7" t="s">
        <v>896</v>
      </c>
    </row>
    <row r="29" spans="1:13">
      <c r="A29" s="8">
        <v>19</v>
      </c>
      <c r="B29" s="9" t="s">
        <v>107</v>
      </c>
      <c r="C29" s="9">
        <v>9.5399999999999991</v>
      </c>
      <c r="D29" s="9">
        <v>1</v>
      </c>
      <c r="E29" s="9">
        <v>2314</v>
      </c>
      <c r="F29" s="9">
        <v>0</v>
      </c>
      <c r="G29" s="9">
        <v>24</v>
      </c>
      <c r="H29" s="9">
        <v>2.7</v>
      </c>
      <c r="I29" s="9">
        <v>86</v>
      </c>
      <c r="J29" s="9">
        <v>-0.1</v>
      </c>
      <c r="K29" s="9">
        <v>0.2</v>
      </c>
      <c r="L29" s="9">
        <v>81834</v>
      </c>
      <c r="M29" s="10" t="s">
        <v>897</v>
      </c>
    </row>
    <row r="30" spans="1:13">
      <c r="A30" s="5">
        <v>20</v>
      </c>
      <c r="B30" s="6" t="s">
        <v>113</v>
      </c>
      <c r="C30" s="6">
        <v>8.5299999999999994</v>
      </c>
      <c r="D30" s="6">
        <v>1</v>
      </c>
      <c r="E30" s="6">
        <v>2314</v>
      </c>
      <c r="F30" s="6">
        <v>0</v>
      </c>
      <c r="G30" s="6">
        <v>24</v>
      </c>
      <c r="H30" s="6">
        <v>2.7</v>
      </c>
      <c r="I30" s="6">
        <v>87</v>
      </c>
      <c r="J30" s="6">
        <v>-0.1</v>
      </c>
      <c r="K30" s="6">
        <v>0.2</v>
      </c>
      <c r="L30" s="6">
        <v>81834</v>
      </c>
      <c r="M30" s="7" t="s">
        <v>898</v>
      </c>
    </row>
    <row r="31" spans="1:13">
      <c r="A31" s="8">
        <v>21</v>
      </c>
      <c r="B31" s="9" t="s">
        <v>113</v>
      </c>
      <c r="C31" s="9">
        <v>7.53</v>
      </c>
      <c r="D31" s="9">
        <v>1</v>
      </c>
      <c r="E31" s="9">
        <v>2314</v>
      </c>
      <c r="F31" s="9">
        <v>0</v>
      </c>
      <c r="G31" s="9">
        <v>24</v>
      </c>
      <c r="H31" s="9">
        <v>2.7</v>
      </c>
      <c r="I31" s="9">
        <v>87</v>
      </c>
      <c r="J31" s="9">
        <v>0</v>
      </c>
      <c r="K31" s="9">
        <v>0.3</v>
      </c>
      <c r="L31" s="9">
        <v>81834</v>
      </c>
      <c r="M31" s="10" t="s">
        <v>672</v>
      </c>
    </row>
    <row r="32" spans="1:13">
      <c r="A32" s="5">
        <v>22</v>
      </c>
      <c r="B32" s="6" t="s">
        <v>117</v>
      </c>
      <c r="C32" s="6">
        <v>6.52</v>
      </c>
      <c r="D32" s="6">
        <v>0</v>
      </c>
      <c r="E32" s="6">
        <v>2315</v>
      </c>
      <c r="F32" s="6">
        <v>1</v>
      </c>
      <c r="G32" s="6">
        <v>0</v>
      </c>
      <c r="H32" s="6">
        <v>2.6</v>
      </c>
      <c r="I32" s="6">
        <v>0</v>
      </c>
      <c r="J32" s="6">
        <v>0</v>
      </c>
      <c r="K32" s="6">
        <v>0.3</v>
      </c>
      <c r="L32" s="6">
        <v>81834</v>
      </c>
      <c r="M32" s="7" t="s">
        <v>899</v>
      </c>
    </row>
    <row r="33" spans="1:13">
      <c r="A33" s="8">
        <v>23</v>
      </c>
      <c r="B33" s="9" t="s">
        <v>117</v>
      </c>
      <c r="C33" s="9">
        <v>5.51</v>
      </c>
      <c r="D33" s="9">
        <v>1</v>
      </c>
      <c r="E33" s="9">
        <v>2315</v>
      </c>
      <c r="F33" s="9">
        <v>0</v>
      </c>
      <c r="G33" s="9">
        <v>0</v>
      </c>
      <c r="H33" s="9">
        <v>2.7</v>
      </c>
      <c r="I33" s="9">
        <v>0</v>
      </c>
      <c r="J33" s="9">
        <v>0</v>
      </c>
      <c r="K33" s="9">
        <v>0.2</v>
      </c>
      <c r="L33" s="9">
        <v>81834</v>
      </c>
      <c r="M33" s="10" t="s">
        <v>900</v>
      </c>
    </row>
    <row r="34" spans="1:13">
      <c r="A34" s="5">
        <v>24</v>
      </c>
      <c r="B34" s="6" t="s">
        <v>117</v>
      </c>
      <c r="C34" s="6">
        <v>4.49</v>
      </c>
      <c r="D34" s="6">
        <v>0</v>
      </c>
      <c r="E34" s="6">
        <v>2315</v>
      </c>
      <c r="F34" s="6">
        <v>0</v>
      </c>
      <c r="G34" s="6">
        <v>0</v>
      </c>
      <c r="H34" s="6">
        <v>2.7</v>
      </c>
      <c r="I34" s="6">
        <v>0</v>
      </c>
      <c r="J34" s="6">
        <v>-0.1</v>
      </c>
      <c r="K34" s="6">
        <v>0.2</v>
      </c>
      <c r="L34" s="6">
        <v>81834</v>
      </c>
      <c r="M34" s="7" t="s">
        <v>901</v>
      </c>
    </row>
    <row r="35" spans="1:13">
      <c r="A35" s="8">
        <v>25</v>
      </c>
      <c r="B35" s="9" t="s">
        <v>28</v>
      </c>
      <c r="C35" s="9">
        <v>3.48</v>
      </c>
      <c r="D35" s="9">
        <v>0</v>
      </c>
      <c r="E35" s="9">
        <v>2315</v>
      </c>
      <c r="F35" s="9">
        <v>0</v>
      </c>
      <c r="G35" s="9">
        <v>0</v>
      </c>
      <c r="H35" s="9">
        <v>2.7</v>
      </c>
      <c r="I35" s="9">
        <v>0</v>
      </c>
      <c r="J35" s="9">
        <v>-0.1</v>
      </c>
      <c r="K35" s="9">
        <v>0.3</v>
      </c>
      <c r="L35" s="9">
        <v>81834</v>
      </c>
      <c r="M35" s="10" t="s">
        <v>902</v>
      </c>
    </row>
    <row r="36" spans="1:13">
      <c r="A36" s="5">
        <v>26</v>
      </c>
      <c r="B36" s="6" t="s">
        <v>28</v>
      </c>
      <c r="C36" s="6">
        <v>2.48</v>
      </c>
      <c r="D36" s="6">
        <v>1</v>
      </c>
      <c r="E36" s="6">
        <v>2316</v>
      </c>
      <c r="F36" s="6">
        <v>1</v>
      </c>
      <c r="G36" s="6">
        <v>0</v>
      </c>
      <c r="H36" s="6">
        <v>2.6</v>
      </c>
      <c r="I36" s="6">
        <v>0</v>
      </c>
      <c r="J36" s="6">
        <v>-0.1</v>
      </c>
      <c r="K36" s="6">
        <v>0.3</v>
      </c>
      <c r="L36" s="6">
        <v>81834</v>
      </c>
      <c r="M36" s="7" t="s">
        <v>678</v>
      </c>
    </row>
    <row r="37" spans="1:13">
      <c r="A37" s="8">
        <v>27</v>
      </c>
      <c r="B37" s="9" t="s">
        <v>28</v>
      </c>
      <c r="C37" s="9">
        <v>1.48</v>
      </c>
      <c r="D37" s="9">
        <v>0</v>
      </c>
      <c r="E37" s="9">
        <v>2316</v>
      </c>
      <c r="F37" s="9">
        <v>0</v>
      </c>
      <c r="G37" s="9">
        <v>0</v>
      </c>
      <c r="H37" s="9">
        <v>2.7</v>
      </c>
      <c r="I37" s="9">
        <v>0</v>
      </c>
      <c r="J37" s="9">
        <v>0.1</v>
      </c>
      <c r="K37" s="9">
        <v>0.3</v>
      </c>
      <c r="L37" s="9">
        <v>81834</v>
      </c>
      <c r="M37" s="10" t="s">
        <v>903</v>
      </c>
    </row>
    <row r="38" spans="1:13">
      <c r="A38" s="19">
        <v>28</v>
      </c>
      <c r="B38" s="20" t="s">
        <v>646</v>
      </c>
      <c r="C38" s="20">
        <v>0.47</v>
      </c>
      <c r="D38" s="20">
        <v>1</v>
      </c>
      <c r="E38" s="20">
        <v>2316</v>
      </c>
      <c r="F38" s="20">
        <v>0</v>
      </c>
      <c r="G38" s="20">
        <v>0</v>
      </c>
      <c r="H38" s="20">
        <v>2.8</v>
      </c>
      <c r="I38" s="20">
        <v>0</v>
      </c>
      <c r="J38" s="20">
        <v>0</v>
      </c>
      <c r="K38" s="20">
        <v>0.2</v>
      </c>
      <c r="L38" s="20">
        <v>81834</v>
      </c>
      <c r="M38" s="21" t="s">
        <v>904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B6D9-B104-421C-B837-D9336368E849}">
  <dimension ref="A1:P40"/>
  <sheetViews>
    <sheetView topLeftCell="B1" zoomScale="85" zoomScaleNormal="85" workbookViewId="0">
      <selection activeCell="P17" sqref="P17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825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791</v>
      </c>
      <c r="C4" s="6" t="s">
        <v>13</v>
      </c>
      <c r="D4" s="6" t="s">
        <v>13</v>
      </c>
      <c r="E4" s="6" t="s">
        <v>19</v>
      </c>
      <c r="F4" s="6" t="s">
        <v>826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827</v>
      </c>
      <c r="C5" s="9" t="s">
        <v>13</v>
      </c>
      <c r="D5" s="9" t="s">
        <v>13</v>
      </c>
      <c r="E5" s="9" t="s">
        <v>22</v>
      </c>
      <c r="F5" s="9" t="s">
        <v>828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416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634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O10" s="22" t="s">
        <v>124</v>
      </c>
      <c r="P10">
        <v>10.91</v>
      </c>
    </row>
    <row r="11" spans="1:16">
      <c r="A11" s="8" t="s">
        <v>39</v>
      </c>
      <c r="B11" s="9" t="s">
        <v>416</v>
      </c>
      <c r="C11" s="9" t="s">
        <v>41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 t="s">
        <v>43</v>
      </c>
      <c r="K11" s="9" t="s">
        <v>43</v>
      </c>
      <c r="L11" s="9" t="s">
        <v>825</v>
      </c>
      <c r="M11" s="10" t="s">
        <v>829</v>
      </c>
      <c r="O11" s="23" t="s">
        <v>127</v>
      </c>
      <c r="P11">
        <f>SUM(F21:F27)</f>
        <v>2412</v>
      </c>
    </row>
    <row r="12" spans="1:16">
      <c r="A12" s="5" t="s">
        <v>45</v>
      </c>
      <c r="B12" s="6" t="s">
        <v>416</v>
      </c>
      <c r="C12" s="6" t="s">
        <v>830</v>
      </c>
      <c r="D12" s="6">
        <v>1</v>
      </c>
      <c r="E12" s="6">
        <v>0</v>
      </c>
      <c r="F12" s="6">
        <v>0</v>
      </c>
      <c r="G12" s="6">
        <v>0</v>
      </c>
      <c r="H12" s="6">
        <v>3.9</v>
      </c>
      <c r="I12" s="6">
        <v>0</v>
      </c>
      <c r="J12" s="6" t="s">
        <v>452</v>
      </c>
      <c r="K12" s="6" t="s">
        <v>648</v>
      </c>
      <c r="L12" s="6" t="s">
        <v>825</v>
      </c>
      <c r="M12" s="7" t="s">
        <v>829</v>
      </c>
      <c r="O12" s="23" t="s">
        <v>125</v>
      </c>
      <c r="P12">
        <f>AVERAGE(H21:H25)</f>
        <v>0.49999999999999989</v>
      </c>
    </row>
    <row r="13" spans="1:16">
      <c r="A13" s="8" t="s">
        <v>46</v>
      </c>
      <c r="B13" s="9" t="s">
        <v>614</v>
      </c>
      <c r="C13" s="9" t="s">
        <v>489</v>
      </c>
      <c r="D13" s="9">
        <v>0</v>
      </c>
      <c r="E13" s="9">
        <v>1</v>
      </c>
      <c r="F13" s="9">
        <v>1</v>
      </c>
      <c r="G13" s="9">
        <v>0</v>
      </c>
      <c r="H13" s="9">
        <v>3.9</v>
      </c>
      <c r="I13" s="9">
        <v>0</v>
      </c>
      <c r="J13" s="9" t="s">
        <v>52</v>
      </c>
      <c r="K13" s="9" t="s">
        <v>648</v>
      </c>
      <c r="L13" s="9" t="s">
        <v>825</v>
      </c>
      <c r="M13" s="10" t="s">
        <v>831</v>
      </c>
      <c r="O13" s="23" t="s">
        <v>126</v>
      </c>
      <c r="P13">
        <f>AVERAGE(H26:H30)</f>
        <v>0.57999999999999996</v>
      </c>
    </row>
    <row r="14" spans="1:16">
      <c r="A14" s="5" t="s">
        <v>48</v>
      </c>
      <c r="B14" s="6" t="s">
        <v>614</v>
      </c>
      <c r="C14" s="6" t="s">
        <v>258</v>
      </c>
      <c r="D14" s="6">
        <v>1</v>
      </c>
      <c r="E14" s="6">
        <v>1</v>
      </c>
      <c r="F14" s="6">
        <v>0</v>
      </c>
      <c r="G14" s="6">
        <v>0</v>
      </c>
      <c r="H14" s="6">
        <v>3.6</v>
      </c>
      <c r="I14" s="6">
        <v>0</v>
      </c>
      <c r="J14" s="6" t="s">
        <v>452</v>
      </c>
      <c r="K14" s="6" t="s">
        <v>583</v>
      </c>
      <c r="L14" s="6" t="s">
        <v>825</v>
      </c>
      <c r="M14" s="7" t="s">
        <v>832</v>
      </c>
    </row>
    <row r="15" spans="1:16">
      <c r="A15" s="8" t="s">
        <v>51</v>
      </c>
      <c r="B15" s="9" t="s">
        <v>614</v>
      </c>
      <c r="C15" s="9" t="s">
        <v>355</v>
      </c>
      <c r="D15" s="9">
        <v>1</v>
      </c>
      <c r="E15" s="9">
        <v>1</v>
      </c>
      <c r="F15" s="9">
        <v>0</v>
      </c>
      <c r="G15" s="9">
        <v>0</v>
      </c>
      <c r="H15" s="9">
        <v>3.7</v>
      </c>
      <c r="I15" s="9">
        <v>0</v>
      </c>
      <c r="J15" s="9" t="s">
        <v>452</v>
      </c>
      <c r="K15" s="9" t="s">
        <v>648</v>
      </c>
      <c r="L15" s="9" t="s">
        <v>825</v>
      </c>
      <c r="M15" s="10" t="s">
        <v>833</v>
      </c>
    </row>
    <row r="16" spans="1:16">
      <c r="A16" s="5" t="s">
        <v>54</v>
      </c>
      <c r="B16" s="6" t="s">
        <v>614</v>
      </c>
      <c r="C16" s="6" t="s">
        <v>653</v>
      </c>
      <c r="D16" s="6">
        <v>1</v>
      </c>
      <c r="E16" s="6">
        <v>1</v>
      </c>
      <c r="F16" s="6">
        <v>0</v>
      </c>
      <c r="G16" s="6">
        <v>0</v>
      </c>
      <c r="H16" s="6">
        <v>3.6</v>
      </c>
      <c r="I16" s="6">
        <v>0</v>
      </c>
      <c r="J16" s="6" t="s">
        <v>452</v>
      </c>
      <c r="K16" s="6" t="s">
        <v>648</v>
      </c>
      <c r="L16" s="6" t="s">
        <v>825</v>
      </c>
      <c r="M16" s="7" t="s">
        <v>834</v>
      </c>
    </row>
    <row r="17" spans="1:13">
      <c r="A17" s="8" t="s">
        <v>56</v>
      </c>
      <c r="B17" s="9" t="s">
        <v>835</v>
      </c>
      <c r="C17" s="9" t="s">
        <v>655</v>
      </c>
      <c r="D17" s="9">
        <v>1</v>
      </c>
      <c r="E17" s="9">
        <v>1</v>
      </c>
      <c r="F17" s="9">
        <v>0</v>
      </c>
      <c r="G17" s="9">
        <v>11.7</v>
      </c>
      <c r="H17" s="9">
        <v>3.7</v>
      </c>
      <c r="I17" s="9">
        <v>164</v>
      </c>
      <c r="J17" s="9" t="s">
        <v>452</v>
      </c>
      <c r="K17" s="9" t="s">
        <v>648</v>
      </c>
      <c r="L17" s="9" t="s">
        <v>825</v>
      </c>
      <c r="M17" s="10" t="s">
        <v>836</v>
      </c>
    </row>
    <row r="18" spans="1:13">
      <c r="A18" s="5" t="s">
        <v>60</v>
      </c>
      <c r="B18" s="6" t="s">
        <v>835</v>
      </c>
      <c r="C18" s="6" t="s">
        <v>410</v>
      </c>
      <c r="D18" s="6">
        <v>1</v>
      </c>
      <c r="E18" s="6">
        <v>1</v>
      </c>
      <c r="F18" s="6">
        <v>0</v>
      </c>
      <c r="G18" s="6">
        <v>24</v>
      </c>
      <c r="H18" s="6">
        <v>3.5</v>
      </c>
      <c r="I18" s="6">
        <v>83</v>
      </c>
      <c r="J18" s="6" t="s">
        <v>452</v>
      </c>
      <c r="K18" s="6" t="s">
        <v>583</v>
      </c>
      <c r="L18" s="6" t="s">
        <v>825</v>
      </c>
      <c r="M18" s="7" t="s">
        <v>837</v>
      </c>
    </row>
    <row r="19" spans="1:13">
      <c r="A19" s="8" t="s">
        <v>62</v>
      </c>
      <c r="B19" s="9" t="s">
        <v>835</v>
      </c>
      <c r="C19" s="9" t="s">
        <v>838</v>
      </c>
      <c r="D19" s="9">
        <v>0</v>
      </c>
      <c r="E19" s="9">
        <v>2</v>
      </c>
      <c r="F19" s="9">
        <v>1</v>
      </c>
      <c r="G19" s="9">
        <v>24</v>
      </c>
      <c r="H19" s="9">
        <v>3.4</v>
      </c>
      <c r="I19" s="9">
        <v>83</v>
      </c>
      <c r="J19" s="9" t="s">
        <v>452</v>
      </c>
      <c r="K19" s="9" t="s">
        <v>648</v>
      </c>
      <c r="L19" s="9" t="s">
        <v>825</v>
      </c>
      <c r="M19" s="10" t="s">
        <v>839</v>
      </c>
    </row>
    <row r="20" spans="1:13">
      <c r="A20" s="5" t="s">
        <v>65</v>
      </c>
      <c r="B20" s="6" t="s">
        <v>418</v>
      </c>
      <c r="C20" s="6" t="s">
        <v>763</v>
      </c>
      <c r="D20" s="6">
        <v>1</v>
      </c>
      <c r="E20" s="6">
        <v>2</v>
      </c>
      <c r="F20" s="6">
        <v>0</v>
      </c>
      <c r="G20" s="6">
        <v>24</v>
      </c>
      <c r="H20" s="6">
        <v>3.5</v>
      </c>
      <c r="I20" s="6">
        <v>83</v>
      </c>
      <c r="J20" s="6" t="s">
        <v>455</v>
      </c>
      <c r="K20" s="6" t="s">
        <v>648</v>
      </c>
      <c r="L20" s="6" t="s">
        <v>825</v>
      </c>
      <c r="M20" s="7" t="s">
        <v>840</v>
      </c>
    </row>
    <row r="21" spans="1:13">
      <c r="A21" s="8" t="s">
        <v>68</v>
      </c>
      <c r="B21" s="16" t="s">
        <v>418</v>
      </c>
      <c r="C21" s="16" t="s">
        <v>765</v>
      </c>
      <c r="D21" s="16">
        <v>1</v>
      </c>
      <c r="E21" s="16">
        <v>2</v>
      </c>
      <c r="F21" s="16">
        <v>0</v>
      </c>
      <c r="G21" s="16">
        <v>24</v>
      </c>
      <c r="H21" s="16">
        <v>0.6</v>
      </c>
      <c r="I21" s="16">
        <v>84</v>
      </c>
      <c r="J21" s="16" t="s">
        <v>452</v>
      </c>
      <c r="K21" s="16" t="s">
        <v>648</v>
      </c>
      <c r="L21" s="16" t="s">
        <v>825</v>
      </c>
      <c r="M21" s="17" t="s">
        <v>841</v>
      </c>
    </row>
    <row r="22" spans="1:13">
      <c r="A22" s="5" t="s">
        <v>71</v>
      </c>
      <c r="B22" s="6" t="s">
        <v>617</v>
      </c>
      <c r="C22" s="6" t="s">
        <v>767</v>
      </c>
      <c r="D22" s="6">
        <v>309</v>
      </c>
      <c r="E22" s="6">
        <v>364</v>
      </c>
      <c r="F22" s="6">
        <v>362</v>
      </c>
      <c r="G22" s="6">
        <v>24</v>
      </c>
      <c r="H22" s="6">
        <v>0.7</v>
      </c>
      <c r="I22" s="6">
        <v>84</v>
      </c>
      <c r="J22" s="6" t="s">
        <v>452</v>
      </c>
      <c r="K22" s="6" t="s">
        <v>583</v>
      </c>
      <c r="L22" s="6" t="s">
        <v>825</v>
      </c>
      <c r="M22" s="7" t="s">
        <v>842</v>
      </c>
    </row>
    <row r="23" spans="1:13">
      <c r="A23" s="8" t="s">
        <v>75</v>
      </c>
      <c r="B23" s="9" t="s">
        <v>843</v>
      </c>
      <c r="C23" s="9" t="s">
        <v>769</v>
      </c>
      <c r="D23" s="9">
        <v>295</v>
      </c>
      <c r="E23" s="9">
        <v>1077</v>
      </c>
      <c r="F23" s="9">
        <v>713</v>
      </c>
      <c r="G23" s="9">
        <v>24</v>
      </c>
      <c r="H23" s="9">
        <v>0.4</v>
      </c>
      <c r="I23" s="9">
        <v>88</v>
      </c>
      <c r="J23" s="9" t="s">
        <v>52</v>
      </c>
      <c r="K23" s="9" t="s">
        <v>648</v>
      </c>
      <c r="L23" s="9" t="s">
        <v>825</v>
      </c>
      <c r="M23" s="10" t="s">
        <v>844</v>
      </c>
    </row>
    <row r="24" spans="1:13">
      <c r="A24" s="5" t="s">
        <v>79</v>
      </c>
      <c r="B24" s="6" t="s">
        <v>428</v>
      </c>
      <c r="C24" s="6" t="s">
        <v>771</v>
      </c>
      <c r="D24" s="6">
        <v>295</v>
      </c>
      <c r="E24" s="6">
        <v>1761</v>
      </c>
      <c r="F24" s="6">
        <v>684</v>
      </c>
      <c r="G24" s="6">
        <v>24</v>
      </c>
      <c r="H24" s="6">
        <v>0.4</v>
      </c>
      <c r="I24" s="6">
        <v>96</v>
      </c>
      <c r="J24" s="6" t="s">
        <v>452</v>
      </c>
      <c r="K24" s="6" t="s">
        <v>648</v>
      </c>
      <c r="L24" s="6" t="s">
        <v>825</v>
      </c>
      <c r="M24" s="7" t="s">
        <v>845</v>
      </c>
    </row>
    <row r="25" spans="1:13">
      <c r="A25" s="8" t="s">
        <v>83</v>
      </c>
      <c r="B25" s="9" t="s">
        <v>430</v>
      </c>
      <c r="C25" s="9" t="s">
        <v>810</v>
      </c>
      <c r="D25" s="9">
        <v>298</v>
      </c>
      <c r="E25" s="9">
        <v>2359</v>
      </c>
      <c r="F25" s="9">
        <v>598</v>
      </c>
      <c r="G25" s="9">
        <v>24</v>
      </c>
      <c r="H25" s="9">
        <v>0.4</v>
      </c>
      <c r="I25" s="9">
        <v>102</v>
      </c>
      <c r="J25" s="9" t="s">
        <v>452</v>
      </c>
      <c r="K25" s="9" t="s">
        <v>583</v>
      </c>
      <c r="L25" s="9" t="s">
        <v>825</v>
      </c>
      <c r="M25" s="10" t="s">
        <v>846</v>
      </c>
    </row>
    <row r="26" spans="1:13">
      <c r="A26" s="5" t="s">
        <v>86</v>
      </c>
      <c r="B26" s="6" t="s">
        <v>430</v>
      </c>
      <c r="C26" s="6" t="s">
        <v>847</v>
      </c>
      <c r="D26" s="6">
        <v>257</v>
      </c>
      <c r="E26" s="6">
        <v>2403</v>
      </c>
      <c r="F26" s="6">
        <v>44</v>
      </c>
      <c r="G26" s="6">
        <v>24</v>
      </c>
      <c r="H26" s="6">
        <v>0</v>
      </c>
      <c r="I26" s="6">
        <v>95</v>
      </c>
      <c r="J26" s="6" t="s">
        <v>452</v>
      </c>
      <c r="K26" s="6" t="s">
        <v>455</v>
      </c>
      <c r="L26" s="6" t="s">
        <v>825</v>
      </c>
      <c r="M26" s="7" t="s">
        <v>848</v>
      </c>
    </row>
    <row r="27" spans="1:13">
      <c r="A27" s="8" t="s">
        <v>90</v>
      </c>
      <c r="B27" s="9" t="s">
        <v>434</v>
      </c>
      <c r="C27" s="9" t="s">
        <v>847</v>
      </c>
      <c r="D27" s="9">
        <v>1</v>
      </c>
      <c r="E27" s="9">
        <v>2414</v>
      </c>
      <c r="F27" s="9">
        <v>11</v>
      </c>
      <c r="G27" s="9">
        <v>24</v>
      </c>
      <c r="H27" s="9">
        <v>0</v>
      </c>
      <c r="I27" s="9">
        <v>92</v>
      </c>
      <c r="J27" s="9" t="s">
        <v>452</v>
      </c>
      <c r="K27" s="9" t="s">
        <v>583</v>
      </c>
      <c r="L27" s="9" t="s">
        <v>825</v>
      </c>
      <c r="M27" s="10" t="s">
        <v>849</v>
      </c>
    </row>
    <row r="28" spans="1:13">
      <c r="A28" s="5" t="s">
        <v>94</v>
      </c>
      <c r="B28" s="6" t="s">
        <v>441</v>
      </c>
      <c r="C28" s="6" t="s">
        <v>850</v>
      </c>
      <c r="D28" s="6">
        <v>1</v>
      </c>
      <c r="E28" s="6">
        <v>2415</v>
      </c>
      <c r="F28" s="6">
        <v>1</v>
      </c>
      <c r="G28" s="6">
        <v>24</v>
      </c>
      <c r="H28" s="6">
        <v>0.9</v>
      </c>
      <c r="I28" s="6">
        <v>86</v>
      </c>
      <c r="J28" s="6" t="s">
        <v>452</v>
      </c>
      <c r="K28" s="6" t="s">
        <v>583</v>
      </c>
      <c r="L28" s="6" t="s">
        <v>825</v>
      </c>
      <c r="M28" s="7" t="s">
        <v>851</v>
      </c>
    </row>
    <row r="29" spans="1:13">
      <c r="A29" s="8" t="s">
        <v>98</v>
      </c>
      <c r="B29" s="9" t="s">
        <v>400</v>
      </c>
      <c r="C29" s="9" t="s">
        <v>852</v>
      </c>
      <c r="D29" s="9">
        <v>1</v>
      </c>
      <c r="E29" s="9">
        <v>2416</v>
      </c>
      <c r="F29" s="9">
        <v>1</v>
      </c>
      <c r="G29" s="9">
        <v>24</v>
      </c>
      <c r="H29" s="9">
        <v>1</v>
      </c>
      <c r="I29" s="9">
        <v>84</v>
      </c>
      <c r="J29" s="9" t="s">
        <v>452</v>
      </c>
      <c r="K29" s="9" t="s">
        <v>583</v>
      </c>
      <c r="L29" s="9" t="s">
        <v>825</v>
      </c>
      <c r="M29" s="10" t="s">
        <v>853</v>
      </c>
    </row>
    <row r="30" spans="1:13">
      <c r="A30" s="5" t="s">
        <v>101</v>
      </c>
      <c r="B30" s="6" t="s">
        <v>624</v>
      </c>
      <c r="C30" s="6" t="s">
        <v>854</v>
      </c>
      <c r="D30" s="6">
        <v>1</v>
      </c>
      <c r="E30" s="6">
        <v>2417</v>
      </c>
      <c r="F30" s="6">
        <v>1</v>
      </c>
      <c r="G30" s="6">
        <v>24</v>
      </c>
      <c r="H30" s="6">
        <v>1</v>
      </c>
      <c r="I30" s="6">
        <v>84</v>
      </c>
      <c r="J30" s="6" t="s">
        <v>452</v>
      </c>
      <c r="K30" s="6" t="s">
        <v>583</v>
      </c>
      <c r="L30" s="6" t="s">
        <v>825</v>
      </c>
      <c r="M30" s="7" t="s">
        <v>855</v>
      </c>
    </row>
    <row r="31" spans="1:13">
      <c r="A31" s="8" t="s">
        <v>104</v>
      </c>
      <c r="B31" s="9" t="s">
        <v>624</v>
      </c>
      <c r="C31" s="9" t="s">
        <v>856</v>
      </c>
      <c r="D31" s="9">
        <v>0</v>
      </c>
      <c r="E31" s="9">
        <v>2417</v>
      </c>
      <c r="F31" s="9">
        <v>0</v>
      </c>
      <c r="G31" s="9">
        <v>24</v>
      </c>
      <c r="H31" s="9">
        <v>3</v>
      </c>
      <c r="I31" s="9">
        <v>84</v>
      </c>
      <c r="J31" s="9" t="s">
        <v>452</v>
      </c>
      <c r="K31" s="9" t="s">
        <v>583</v>
      </c>
      <c r="L31" s="9" t="s">
        <v>825</v>
      </c>
      <c r="M31" s="10" t="s">
        <v>857</v>
      </c>
    </row>
    <row r="32" spans="1:13">
      <c r="A32" s="5" t="s">
        <v>106</v>
      </c>
      <c r="B32" s="6" t="s">
        <v>626</v>
      </c>
      <c r="C32" s="6" t="s">
        <v>858</v>
      </c>
      <c r="D32" s="6">
        <v>1</v>
      </c>
      <c r="E32" s="6">
        <v>2417</v>
      </c>
      <c r="F32" s="6">
        <v>0</v>
      </c>
      <c r="G32" s="6">
        <v>24</v>
      </c>
      <c r="H32" s="6">
        <v>2.9</v>
      </c>
      <c r="I32" s="6">
        <v>84</v>
      </c>
      <c r="J32" s="6" t="s">
        <v>452</v>
      </c>
      <c r="K32" s="6" t="s">
        <v>648</v>
      </c>
      <c r="L32" s="6" t="s">
        <v>825</v>
      </c>
      <c r="M32" s="7" t="s">
        <v>859</v>
      </c>
    </row>
    <row r="33" spans="1:13">
      <c r="A33" s="8" t="s">
        <v>96</v>
      </c>
      <c r="B33" s="9" t="s">
        <v>626</v>
      </c>
      <c r="C33" s="9" t="s">
        <v>860</v>
      </c>
      <c r="D33" s="9">
        <v>1</v>
      </c>
      <c r="E33" s="9">
        <v>2417</v>
      </c>
      <c r="F33" s="9">
        <v>0</v>
      </c>
      <c r="G33" s="9">
        <v>24</v>
      </c>
      <c r="H33" s="9">
        <v>2.9</v>
      </c>
      <c r="I33" s="9">
        <v>84</v>
      </c>
      <c r="J33" s="9" t="s">
        <v>452</v>
      </c>
      <c r="K33" s="9" t="s">
        <v>583</v>
      </c>
      <c r="L33" s="9" t="s">
        <v>825</v>
      </c>
      <c r="M33" s="10" t="s">
        <v>861</v>
      </c>
    </row>
    <row r="34" spans="1:13">
      <c r="A34" s="5" t="s">
        <v>110</v>
      </c>
      <c r="B34" s="6" t="s">
        <v>628</v>
      </c>
      <c r="C34" s="6" t="s">
        <v>862</v>
      </c>
      <c r="D34" s="6">
        <v>1</v>
      </c>
      <c r="E34" s="6">
        <v>2418</v>
      </c>
      <c r="F34" s="6">
        <v>1</v>
      </c>
      <c r="G34" s="6">
        <v>24</v>
      </c>
      <c r="H34" s="6">
        <v>3.1</v>
      </c>
      <c r="I34" s="6">
        <v>84</v>
      </c>
      <c r="J34" s="6" t="s">
        <v>452</v>
      </c>
      <c r="K34" s="6" t="s">
        <v>648</v>
      </c>
      <c r="L34" s="6" t="s">
        <v>825</v>
      </c>
      <c r="M34" s="7" t="s">
        <v>863</v>
      </c>
    </row>
    <row r="35" spans="1:13">
      <c r="A35" s="8" t="s">
        <v>112</v>
      </c>
      <c r="B35" s="9" t="s">
        <v>628</v>
      </c>
      <c r="C35" s="9" t="s">
        <v>864</v>
      </c>
      <c r="D35" s="9">
        <v>0</v>
      </c>
      <c r="E35" s="9">
        <v>2418</v>
      </c>
      <c r="F35" s="9">
        <v>0</v>
      </c>
      <c r="G35" s="9">
        <v>24</v>
      </c>
      <c r="H35" s="9">
        <v>3</v>
      </c>
      <c r="I35" s="9">
        <v>84</v>
      </c>
      <c r="J35" s="9" t="s">
        <v>452</v>
      </c>
      <c r="K35" s="9" t="s">
        <v>583</v>
      </c>
      <c r="L35" s="9" t="s">
        <v>825</v>
      </c>
      <c r="M35" s="10" t="s">
        <v>865</v>
      </c>
    </row>
    <row r="36" spans="1:13">
      <c r="A36" s="5" t="s">
        <v>115</v>
      </c>
      <c r="B36" s="6" t="s">
        <v>628</v>
      </c>
      <c r="C36" s="6" t="s">
        <v>866</v>
      </c>
      <c r="D36" s="6">
        <v>1</v>
      </c>
      <c r="E36" s="6">
        <v>2418</v>
      </c>
      <c r="F36" s="6">
        <v>0</v>
      </c>
      <c r="G36" s="6">
        <v>24</v>
      </c>
      <c r="H36" s="6">
        <v>3</v>
      </c>
      <c r="I36" s="6">
        <v>84</v>
      </c>
      <c r="J36" s="6" t="s">
        <v>455</v>
      </c>
      <c r="K36" s="6" t="s">
        <v>583</v>
      </c>
      <c r="L36" s="6" t="s">
        <v>825</v>
      </c>
      <c r="M36" s="7" t="s">
        <v>867</v>
      </c>
    </row>
    <row r="37" spans="1:13">
      <c r="A37" s="8" t="s">
        <v>92</v>
      </c>
      <c r="B37" s="9" t="s">
        <v>631</v>
      </c>
      <c r="C37" s="9" t="s">
        <v>820</v>
      </c>
      <c r="D37" s="9">
        <v>1</v>
      </c>
      <c r="E37" s="9">
        <v>2418</v>
      </c>
      <c r="F37" s="9">
        <v>0</v>
      </c>
      <c r="G37" s="9">
        <v>24</v>
      </c>
      <c r="H37" s="9">
        <v>3</v>
      </c>
      <c r="I37" s="9">
        <v>84</v>
      </c>
      <c r="J37" s="9" t="s">
        <v>452</v>
      </c>
      <c r="K37" s="9" t="s">
        <v>648</v>
      </c>
      <c r="L37" s="9" t="s">
        <v>825</v>
      </c>
      <c r="M37" s="10" t="s">
        <v>868</v>
      </c>
    </row>
    <row r="38" spans="1:13">
      <c r="A38" s="5" t="s">
        <v>119</v>
      </c>
      <c r="B38" s="6" t="s">
        <v>631</v>
      </c>
      <c r="C38" s="6" t="s">
        <v>869</v>
      </c>
      <c r="D38" s="6">
        <v>1</v>
      </c>
      <c r="E38" s="6">
        <v>2418</v>
      </c>
      <c r="F38" s="6">
        <v>0</v>
      </c>
      <c r="G38" s="6">
        <v>0</v>
      </c>
      <c r="H38" s="6">
        <v>3.1</v>
      </c>
      <c r="I38" s="6">
        <v>0</v>
      </c>
      <c r="J38" s="6" t="s">
        <v>452</v>
      </c>
      <c r="K38" s="6" t="s">
        <v>583</v>
      </c>
      <c r="L38" s="6" t="s">
        <v>825</v>
      </c>
      <c r="M38" s="7" t="s">
        <v>870</v>
      </c>
    </row>
    <row r="39" spans="1:13">
      <c r="A39" s="8" t="s">
        <v>121</v>
      </c>
      <c r="B39" s="9" t="s">
        <v>631</v>
      </c>
      <c r="C39" s="9" t="s">
        <v>871</v>
      </c>
      <c r="D39" s="9">
        <v>1</v>
      </c>
      <c r="E39" s="9">
        <v>2419</v>
      </c>
      <c r="F39" s="9">
        <v>1</v>
      </c>
      <c r="G39" s="9">
        <v>0</v>
      </c>
      <c r="H39" s="9">
        <v>3.2</v>
      </c>
      <c r="I39" s="9">
        <v>0</v>
      </c>
      <c r="J39" s="9" t="s">
        <v>452</v>
      </c>
      <c r="K39" s="9" t="s">
        <v>583</v>
      </c>
      <c r="L39" s="9" t="s">
        <v>825</v>
      </c>
      <c r="M39" s="10" t="s">
        <v>872</v>
      </c>
    </row>
    <row r="40" spans="1:13">
      <c r="A40" s="19" t="s">
        <v>196</v>
      </c>
      <c r="B40" s="20" t="s">
        <v>634</v>
      </c>
      <c r="C40" s="20" t="s">
        <v>873</v>
      </c>
      <c r="D40" s="20">
        <v>1</v>
      </c>
      <c r="E40" s="20">
        <v>2419</v>
      </c>
      <c r="F40" s="20">
        <v>0</v>
      </c>
      <c r="G40" s="20">
        <v>0</v>
      </c>
      <c r="H40" s="20">
        <v>3.2</v>
      </c>
      <c r="I40" s="20">
        <v>0</v>
      </c>
      <c r="J40" s="20" t="s">
        <v>452</v>
      </c>
      <c r="K40" s="20" t="s">
        <v>455</v>
      </c>
      <c r="L40" s="20" t="s">
        <v>825</v>
      </c>
      <c r="M40" s="21" t="s">
        <v>635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6867-2FD2-47C2-83C9-67A42D743507}">
  <dimension ref="A1:P39"/>
  <sheetViews>
    <sheetView topLeftCell="A4" zoomScale="70" zoomScaleNormal="70" workbookViewId="0">
      <selection activeCell="O19" sqref="O19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789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790</v>
      </c>
      <c r="C4" s="6" t="s">
        <v>13</v>
      </c>
      <c r="D4" s="6" t="s">
        <v>13</v>
      </c>
      <c r="E4" s="6" t="s">
        <v>19</v>
      </c>
      <c r="F4" s="6" t="s">
        <v>791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792</v>
      </c>
      <c r="C5" s="9" t="s">
        <v>13</v>
      </c>
      <c r="D5" s="9" t="s">
        <v>13</v>
      </c>
      <c r="E5" s="9" t="s">
        <v>22</v>
      </c>
      <c r="F5" s="9" t="s">
        <v>793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371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318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O10" s="22" t="s">
        <v>124</v>
      </c>
      <c r="P10">
        <v>10.9</v>
      </c>
    </row>
    <row r="11" spans="1:16">
      <c r="A11" s="8">
        <v>1</v>
      </c>
      <c r="B11" s="9" t="s">
        <v>371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61834</v>
      </c>
      <c r="M11" s="10" t="s">
        <v>794</v>
      </c>
      <c r="O11" s="23" t="s">
        <v>127</v>
      </c>
      <c r="P11">
        <f>SUM(F21:F27)</f>
        <v>2491</v>
      </c>
    </row>
    <row r="12" spans="1:16">
      <c r="A12" s="5">
        <v>2</v>
      </c>
      <c r="B12" s="6" t="s">
        <v>371</v>
      </c>
      <c r="C12" s="6">
        <v>1.02</v>
      </c>
      <c r="D12" s="6">
        <v>1</v>
      </c>
      <c r="E12" s="6">
        <v>0</v>
      </c>
      <c r="F12" s="6">
        <v>0</v>
      </c>
      <c r="G12" s="6">
        <v>0</v>
      </c>
      <c r="H12" s="6">
        <v>3.4</v>
      </c>
      <c r="I12" s="6">
        <v>0</v>
      </c>
      <c r="J12" s="6">
        <v>-0.3</v>
      </c>
      <c r="K12" s="6">
        <v>-0.6</v>
      </c>
      <c r="L12" s="6">
        <v>61834</v>
      </c>
      <c r="M12" s="7" t="s">
        <v>794</v>
      </c>
      <c r="O12" s="23" t="s">
        <v>125</v>
      </c>
      <c r="P12">
        <f>AVERAGE(H21:H25)</f>
        <v>0.4</v>
      </c>
    </row>
    <row r="13" spans="1:16">
      <c r="A13" s="8">
        <v>3</v>
      </c>
      <c r="B13" s="9" t="s">
        <v>373</v>
      </c>
      <c r="C13" s="9">
        <v>2.0499999999999998</v>
      </c>
      <c r="D13" s="9">
        <v>1</v>
      </c>
      <c r="E13" s="9">
        <v>1</v>
      </c>
      <c r="F13" s="9">
        <v>1</v>
      </c>
      <c r="G13" s="9">
        <v>0</v>
      </c>
      <c r="H13" s="9">
        <v>3.4</v>
      </c>
      <c r="I13" s="9">
        <v>0</v>
      </c>
      <c r="J13" s="9">
        <v>-0.3</v>
      </c>
      <c r="K13" s="9">
        <v>-0.6</v>
      </c>
      <c r="L13" s="9">
        <v>61834</v>
      </c>
      <c r="M13" s="10" t="s">
        <v>795</v>
      </c>
      <c r="O13" s="23" t="s">
        <v>126</v>
      </c>
      <c r="P13">
        <f>AVERAGE(H26:H29)</f>
        <v>0.75</v>
      </c>
    </row>
    <row r="14" spans="1:16">
      <c r="A14" s="5">
        <v>4</v>
      </c>
      <c r="B14" s="6" t="s">
        <v>373</v>
      </c>
      <c r="C14" s="6">
        <v>3.05</v>
      </c>
      <c r="D14" s="6">
        <v>1</v>
      </c>
      <c r="E14" s="6">
        <v>1</v>
      </c>
      <c r="F14" s="6">
        <v>0</v>
      </c>
      <c r="G14" s="6">
        <v>0</v>
      </c>
      <c r="H14" s="6">
        <v>3.3</v>
      </c>
      <c r="I14" s="6">
        <v>0</v>
      </c>
      <c r="J14" s="6">
        <v>-0.3</v>
      </c>
      <c r="K14" s="6">
        <v>-0.6</v>
      </c>
      <c r="L14" s="6">
        <v>61834</v>
      </c>
      <c r="M14" s="7" t="s">
        <v>796</v>
      </c>
    </row>
    <row r="15" spans="1:16">
      <c r="A15" s="8">
        <v>5</v>
      </c>
      <c r="B15" s="9" t="s">
        <v>373</v>
      </c>
      <c r="C15" s="9">
        <v>4.07</v>
      </c>
      <c r="D15" s="9">
        <v>0</v>
      </c>
      <c r="E15" s="9">
        <v>1</v>
      </c>
      <c r="F15" s="9">
        <v>0</v>
      </c>
      <c r="G15" s="9">
        <v>0</v>
      </c>
      <c r="H15" s="9">
        <v>3.2</v>
      </c>
      <c r="I15" s="9">
        <v>0</v>
      </c>
      <c r="J15" s="9">
        <v>-0.2</v>
      </c>
      <c r="K15" s="9">
        <v>-0.6</v>
      </c>
      <c r="L15" s="9">
        <v>61834</v>
      </c>
      <c r="M15" s="10" t="s">
        <v>570</v>
      </c>
    </row>
    <row r="16" spans="1:16">
      <c r="A16" s="5">
        <v>6</v>
      </c>
      <c r="B16" s="6" t="s">
        <v>571</v>
      </c>
      <c r="C16" s="6">
        <v>5.08</v>
      </c>
      <c r="D16" s="6">
        <v>0</v>
      </c>
      <c r="E16" s="6">
        <v>1</v>
      </c>
      <c r="F16" s="6">
        <v>0</v>
      </c>
      <c r="G16" s="6">
        <v>0</v>
      </c>
      <c r="H16" s="6">
        <v>3.2</v>
      </c>
      <c r="I16" s="6">
        <v>0</v>
      </c>
      <c r="J16" s="6">
        <v>-0.2</v>
      </c>
      <c r="K16" s="6">
        <v>-0.6</v>
      </c>
      <c r="L16" s="6">
        <v>61834</v>
      </c>
      <c r="M16" s="7" t="s">
        <v>797</v>
      </c>
    </row>
    <row r="17" spans="1:13">
      <c r="A17" s="8">
        <v>7</v>
      </c>
      <c r="B17" s="9" t="s">
        <v>571</v>
      </c>
      <c r="C17" s="9">
        <v>6.1</v>
      </c>
      <c r="D17" s="9">
        <v>0</v>
      </c>
      <c r="E17" s="9">
        <v>2</v>
      </c>
      <c r="F17" s="9">
        <v>1</v>
      </c>
      <c r="G17" s="9">
        <v>0.3</v>
      </c>
      <c r="H17" s="9">
        <v>3.2</v>
      </c>
      <c r="I17" s="9">
        <v>0</v>
      </c>
      <c r="J17" s="9">
        <v>-0.2</v>
      </c>
      <c r="K17" s="9">
        <v>-0.6</v>
      </c>
      <c r="L17" s="9">
        <v>61834</v>
      </c>
      <c r="M17" s="10" t="s">
        <v>798</v>
      </c>
    </row>
    <row r="18" spans="1:13">
      <c r="A18" s="5">
        <v>8</v>
      </c>
      <c r="B18" s="6" t="s">
        <v>571</v>
      </c>
      <c r="C18" s="6">
        <v>7.11</v>
      </c>
      <c r="D18" s="6">
        <v>0</v>
      </c>
      <c r="E18" s="6">
        <v>2</v>
      </c>
      <c r="F18" s="6">
        <v>0</v>
      </c>
      <c r="G18" s="6">
        <v>18.7</v>
      </c>
      <c r="H18" s="6">
        <v>3.2</v>
      </c>
      <c r="I18" s="6">
        <v>106</v>
      </c>
      <c r="J18" s="6">
        <v>-0.2</v>
      </c>
      <c r="K18" s="6">
        <v>-0.7</v>
      </c>
      <c r="L18" s="6">
        <v>61834</v>
      </c>
      <c r="M18" s="7" t="s">
        <v>799</v>
      </c>
    </row>
    <row r="19" spans="1:13">
      <c r="A19" s="8">
        <v>9</v>
      </c>
      <c r="B19" s="9" t="s">
        <v>376</v>
      </c>
      <c r="C19" s="9">
        <v>8.1199999999999992</v>
      </c>
      <c r="D19" s="9">
        <v>1</v>
      </c>
      <c r="E19" s="9">
        <v>2</v>
      </c>
      <c r="F19" s="9">
        <v>0</v>
      </c>
      <c r="G19" s="9">
        <v>24</v>
      </c>
      <c r="H19" s="9">
        <v>2.9</v>
      </c>
      <c r="I19" s="9">
        <v>83</v>
      </c>
      <c r="J19" s="9">
        <v>-0.2</v>
      </c>
      <c r="K19" s="9">
        <v>-0.6</v>
      </c>
      <c r="L19" s="9">
        <v>61834</v>
      </c>
      <c r="M19" s="10" t="s">
        <v>800</v>
      </c>
    </row>
    <row r="20" spans="1:13">
      <c r="A20" s="5">
        <v>10</v>
      </c>
      <c r="B20" s="6" t="s">
        <v>376</v>
      </c>
      <c r="C20" s="6">
        <v>9.14</v>
      </c>
      <c r="D20" s="6">
        <v>1</v>
      </c>
      <c r="E20" s="6">
        <v>2</v>
      </c>
      <c r="F20" s="6">
        <v>0</v>
      </c>
      <c r="G20" s="6">
        <v>24</v>
      </c>
      <c r="H20" s="6">
        <v>3.1</v>
      </c>
      <c r="I20" s="6">
        <v>84</v>
      </c>
      <c r="J20" s="6">
        <v>-0.1</v>
      </c>
      <c r="K20" s="6">
        <v>-0.6</v>
      </c>
      <c r="L20" s="6">
        <v>61834</v>
      </c>
      <c r="M20" s="7" t="s">
        <v>801</v>
      </c>
    </row>
    <row r="21" spans="1:13">
      <c r="A21" s="15">
        <v>11</v>
      </c>
      <c r="B21" s="16" t="s">
        <v>380</v>
      </c>
      <c r="C21" s="16">
        <v>10.14</v>
      </c>
      <c r="D21" s="16">
        <v>0</v>
      </c>
      <c r="E21" s="16">
        <v>4</v>
      </c>
      <c r="F21" s="16">
        <v>2</v>
      </c>
      <c r="G21" s="16">
        <v>24</v>
      </c>
      <c r="H21" s="16">
        <v>0.4</v>
      </c>
      <c r="I21" s="16">
        <v>83</v>
      </c>
      <c r="J21" s="16">
        <v>-0.2</v>
      </c>
      <c r="K21" s="16">
        <v>-0.6</v>
      </c>
      <c r="L21" s="16">
        <v>61834</v>
      </c>
      <c r="M21" s="17" t="s">
        <v>802</v>
      </c>
    </row>
    <row r="22" spans="1:13">
      <c r="A22" s="5">
        <v>12</v>
      </c>
      <c r="B22" s="6" t="s">
        <v>389</v>
      </c>
      <c r="C22" s="6">
        <v>11.14</v>
      </c>
      <c r="D22" s="6">
        <v>299</v>
      </c>
      <c r="E22" s="6">
        <v>351</v>
      </c>
      <c r="F22" s="6">
        <v>347</v>
      </c>
      <c r="G22" s="6">
        <v>24</v>
      </c>
      <c r="H22" s="6">
        <v>0.4</v>
      </c>
      <c r="I22" s="6">
        <v>84</v>
      </c>
      <c r="J22" s="6">
        <v>-0.2</v>
      </c>
      <c r="K22" s="6">
        <v>-0.6</v>
      </c>
      <c r="L22" s="6">
        <v>61834</v>
      </c>
      <c r="M22" s="7" t="s">
        <v>803</v>
      </c>
    </row>
    <row r="23" spans="1:13">
      <c r="A23" s="8">
        <v>13</v>
      </c>
      <c r="B23" s="9" t="s">
        <v>804</v>
      </c>
      <c r="C23" s="9">
        <v>12.14</v>
      </c>
      <c r="D23" s="9">
        <v>294</v>
      </c>
      <c r="E23" s="9">
        <v>1080</v>
      </c>
      <c r="F23" s="9">
        <v>729</v>
      </c>
      <c r="G23" s="9">
        <v>24</v>
      </c>
      <c r="H23" s="9">
        <v>0.4</v>
      </c>
      <c r="I23" s="9">
        <v>87</v>
      </c>
      <c r="J23" s="9">
        <v>-0.2</v>
      </c>
      <c r="K23" s="9">
        <v>-0.6</v>
      </c>
      <c r="L23" s="9">
        <v>61834</v>
      </c>
      <c r="M23" s="10" t="s">
        <v>805</v>
      </c>
    </row>
    <row r="24" spans="1:13">
      <c r="A24" s="5">
        <v>14</v>
      </c>
      <c r="B24" s="6" t="s">
        <v>806</v>
      </c>
      <c r="C24" s="6">
        <v>13.14</v>
      </c>
      <c r="D24" s="6">
        <v>298</v>
      </c>
      <c r="E24" s="6">
        <v>1807</v>
      </c>
      <c r="F24" s="6">
        <v>727</v>
      </c>
      <c r="G24" s="6">
        <v>24</v>
      </c>
      <c r="H24" s="6">
        <v>0.4</v>
      </c>
      <c r="I24" s="6">
        <v>92</v>
      </c>
      <c r="J24" s="6">
        <v>-0.3</v>
      </c>
      <c r="K24" s="6">
        <v>-0.6</v>
      </c>
      <c r="L24" s="6">
        <v>61834</v>
      </c>
      <c r="M24" s="7" t="s">
        <v>807</v>
      </c>
    </row>
    <row r="25" spans="1:13">
      <c r="A25" s="8">
        <v>15</v>
      </c>
      <c r="B25" s="9" t="s">
        <v>579</v>
      </c>
      <c r="C25" s="9">
        <v>13.9</v>
      </c>
      <c r="D25" s="9">
        <v>298</v>
      </c>
      <c r="E25" s="9">
        <v>2376</v>
      </c>
      <c r="F25" s="9">
        <v>569</v>
      </c>
      <c r="G25" s="9">
        <v>24</v>
      </c>
      <c r="H25" s="9">
        <v>0.4</v>
      </c>
      <c r="I25" s="9">
        <v>100</v>
      </c>
      <c r="J25" s="9">
        <v>-0.2</v>
      </c>
      <c r="K25" s="9">
        <v>-0.4</v>
      </c>
      <c r="L25" s="9">
        <v>61834</v>
      </c>
      <c r="M25" s="10" t="s">
        <v>808</v>
      </c>
    </row>
    <row r="26" spans="1:13">
      <c r="A26" s="5">
        <v>16</v>
      </c>
      <c r="B26" s="6" t="s">
        <v>809</v>
      </c>
      <c r="C26" s="6">
        <v>13.91</v>
      </c>
      <c r="D26" s="6">
        <v>1</v>
      </c>
      <c r="E26" s="6">
        <v>2428</v>
      </c>
      <c r="F26" s="6">
        <v>52</v>
      </c>
      <c r="G26" s="6">
        <v>24</v>
      </c>
      <c r="H26" s="6">
        <v>0</v>
      </c>
      <c r="I26" s="6">
        <v>94</v>
      </c>
      <c r="J26" s="6">
        <v>-0.1</v>
      </c>
      <c r="K26" s="6">
        <v>-0.5</v>
      </c>
      <c r="L26" s="6">
        <v>61834</v>
      </c>
      <c r="M26" s="7" t="s">
        <v>811</v>
      </c>
    </row>
    <row r="27" spans="1:13">
      <c r="A27" s="8">
        <v>17</v>
      </c>
      <c r="B27" s="9" t="s">
        <v>303</v>
      </c>
      <c r="C27" s="9">
        <v>12.9</v>
      </c>
      <c r="D27" s="9">
        <v>1</v>
      </c>
      <c r="E27" s="9">
        <v>2493</v>
      </c>
      <c r="F27" s="9">
        <v>65</v>
      </c>
      <c r="G27" s="9">
        <v>24</v>
      </c>
      <c r="H27" s="9">
        <v>1</v>
      </c>
      <c r="I27" s="9">
        <v>85</v>
      </c>
      <c r="J27" s="9">
        <v>-0.3</v>
      </c>
      <c r="K27" s="9">
        <v>-0.6</v>
      </c>
      <c r="L27" s="9">
        <v>61834</v>
      </c>
      <c r="M27" s="10" t="s">
        <v>306</v>
      </c>
    </row>
    <row r="28" spans="1:13">
      <c r="A28" s="5">
        <v>18</v>
      </c>
      <c r="B28" s="6" t="s">
        <v>307</v>
      </c>
      <c r="C28" s="6">
        <v>11.9</v>
      </c>
      <c r="D28" s="6">
        <v>1</v>
      </c>
      <c r="E28" s="6">
        <v>2493</v>
      </c>
      <c r="F28" s="6">
        <v>0</v>
      </c>
      <c r="G28" s="6">
        <v>24</v>
      </c>
      <c r="H28" s="6">
        <v>1</v>
      </c>
      <c r="I28" s="6">
        <v>83</v>
      </c>
      <c r="J28" s="6">
        <v>-0.2</v>
      </c>
      <c r="K28" s="6">
        <v>-0.6</v>
      </c>
      <c r="L28" s="6">
        <v>61834</v>
      </c>
      <c r="M28" s="7" t="s">
        <v>812</v>
      </c>
    </row>
    <row r="29" spans="1:13">
      <c r="A29" s="8">
        <v>19</v>
      </c>
      <c r="B29" s="9" t="s">
        <v>312</v>
      </c>
      <c r="C29" s="9">
        <v>10.9</v>
      </c>
      <c r="D29" s="9">
        <v>0</v>
      </c>
      <c r="E29" s="9">
        <v>2494</v>
      </c>
      <c r="F29" s="9">
        <v>1</v>
      </c>
      <c r="G29" s="9">
        <v>24</v>
      </c>
      <c r="H29" s="9">
        <v>1</v>
      </c>
      <c r="I29" s="9">
        <v>83</v>
      </c>
      <c r="J29" s="9">
        <v>-0.3</v>
      </c>
      <c r="K29" s="9">
        <v>-0.6</v>
      </c>
      <c r="L29" s="9">
        <v>61834</v>
      </c>
      <c r="M29" s="10" t="s">
        <v>813</v>
      </c>
    </row>
    <row r="30" spans="1:13">
      <c r="A30" s="5">
        <v>20</v>
      </c>
      <c r="B30" s="6" t="s">
        <v>586</v>
      </c>
      <c r="C30" s="6">
        <v>9.89</v>
      </c>
      <c r="D30" s="6">
        <v>0</v>
      </c>
      <c r="E30" s="6">
        <v>2495</v>
      </c>
      <c r="F30" s="6">
        <v>1</v>
      </c>
      <c r="G30" s="6">
        <v>24</v>
      </c>
      <c r="H30" s="6">
        <v>2.7</v>
      </c>
      <c r="I30" s="6">
        <v>83</v>
      </c>
      <c r="J30" s="6">
        <v>-0.2</v>
      </c>
      <c r="K30" s="6">
        <v>-0.6</v>
      </c>
      <c r="L30" s="6">
        <v>61834</v>
      </c>
      <c r="M30" s="7" t="s">
        <v>814</v>
      </c>
    </row>
    <row r="31" spans="1:13">
      <c r="A31" s="8">
        <v>21</v>
      </c>
      <c r="B31" s="9" t="s">
        <v>316</v>
      </c>
      <c r="C31" s="9">
        <v>8.8800000000000008</v>
      </c>
      <c r="D31" s="9">
        <v>1</v>
      </c>
      <c r="E31" s="9">
        <v>2495</v>
      </c>
      <c r="F31" s="9">
        <v>0</v>
      </c>
      <c r="G31" s="9">
        <v>0</v>
      </c>
      <c r="H31" s="9">
        <v>2.8</v>
      </c>
      <c r="I31" s="9">
        <v>0</v>
      </c>
      <c r="J31" s="9">
        <v>-0.2</v>
      </c>
      <c r="K31" s="9">
        <v>-0.6</v>
      </c>
      <c r="L31" s="9">
        <v>61834</v>
      </c>
      <c r="M31" s="10" t="s">
        <v>815</v>
      </c>
    </row>
    <row r="32" spans="1:13">
      <c r="A32" s="5">
        <v>22</v>
      </c>
      <c r="B32" s="6" t="s">
        <v>316</v>
      </c>
      <c r="C32" s="6">
        <v>7.87</v>
      </c>
      <c r="D32" s="6">
        <v>1</v>
      </c>
      <c r="E32" s="6">
        <v>2495</v>
      </c>
      <c r="F32" s="6">
        <v>0</v>
      </c>
      <c r="G32" s="6">
        <v>0</v>
      </c>
      <c r="H32" s="6">
        <v>2.7</v>
      </c>
      <c r="I32" s="6">
        <v>0</v>
      </c>
      <c r="J32" s="6">
        <v>-0.2</v>
      </c>
      <c r="K32" s="6">
        <v>-0.6</v>
      </c>
      <c r="L32" s="6">
        <v>61834</v>
      </c>
      <c r="M32" s="7" t="s">
        <v>816</v>
      </c>
    </row>
    <row r="33" spans="1:13">
      <c r="A33" s="8">
        <v>23</v>
      </c>
      <c r="B33" s="9" t="s">
        <v>316</v>
      </c>
      <c r="C33" s="9">
        <v>6.86</v>
      </c>
      <c r="D33" s="9">
        <v>1</v>
      </c>
      <c r="E33" s="9">
        <v>2495</v>
      </c>
      <c r="F33" s="9">
        <v>0</v>
      </c>
      <c r="G33" s="9">
        <v>0</v>
      </c>
      <c r="H33" s="9">
        <v>2.9</v>
      </c>
      <c r="I33" s="9">
        <v>0</v>
      </c>
      <c r="J33" s="9">
        <v>-0.2</v>
      </c>
      <c r="K33" s="9">
        <v>-0.6</v>
      </c>
      <c r="L33" s="9">
        <v>61834</v>
      </c>
      <c r="M33" s="10" t="s">
        <v>817</v>
      </c>
    </row>
    <row r="34" spans="1:13">
      <c r="A34" s="5">
        <v>24</v>
      </c>
      <c r="B34" s="6" t="s">
        <v>589</v>
      </c>
      <c r="C34" s="6">
        <v>5.86</v>
      </c>
      <c r="D34" s="6">
        <v>1</v>
      </c>
      <c r="E34" s="6">
        <v>2496</v>
      </c>
      <c r="F34" s="6">
        <v>1</v>
      </c>
      <c r="G34" s="6">
        <v>0</v>
      </c>
      <c r="H34" s="6">
        <v>2.9</v>
      </c>
      <c r="I34" s="6">
        <v>0</v>
      </c>
      <c r="J34" s="6">
        <v>-0.2</v>
      </c>
      <c r="K34" s="6">
        <v>-0.6</v>
      </c>
      <c r="L34" s="6">
        <v>61834</v>
      </c>
      <c r="M34" s="7" t="s">
        <v>818</v>
      </c>
    </row>
    <row r="35" spans="1:13">
      <c r="A35" s="8">
        <v>25</v>
      </c>
      <c r="B35" s="9" t="s">
        <v>589</v>
      </c>
      <c r="C35" s="9">
        <v>4.8499999999999996</v>
      </c>
      <c r="D35" s="9">
        <v>1</v>
      </c>
      <c r="E35" s="9">
        <v>2496</v>
      </c>
      <c r="F35" s="9">
        <v>0</v>
      </c>
      <c r="G35" s="9">
        <v>0</v>
      </c>
      <c r="H35" s="9">
        <v>2.8</v>
      </c>
      <c r="I35" s="9">
        <v>0</v>
      </c>
      <c r="J35" s="9">
        <v>-0.2</v>
      </c>
      <c r="K35" s="9">
        <v>-0.6</v>
      </c>
      <c r="L35" s="9">
        <v>61834</v>
      </c>
      <c r="M35" s="10" t="s">
        <v>819</v>
      </c>
    </row>
    <row r="36" spans="1:13">
      <c r="A36" s="5">
        <v>26</v>
      </c>
      <c r="B36" s="6" t="s">
        <v>589</v>
      </c>
      <c r="C36" s="6">
        <v>3.84</v>
      </c>
      <c r="D36" s="6">
        <v>1</v>
      </c>
      <c r="E36" s="6">
        <v>2496</v>
      </c>
      <c r="F36" s="6">
        <v>0</v>
      </c>
      <c r="G36" s="6">
        <v>0</v>
      </c>
      <c r="H36" s="6">
        <v>3</v>
      </c>
      <c r="I36" s="6">
        <v>0</v>
      </c>
      <c r="J36" s="6">
        <v>-0.2</v>
      </c>
      <c r="K36" s="6">
        <v>-0.6</v>
      </c>
      <c r="L36" s="6">
        <v>61834</v>
      </c>
      <c r="M36" s="7" t="s">
        <v>821</v>
      </c>
    </row>
    <row r="37" spans="1:13">
      <c r="A37" s="8">
        <v>27</v>
      </c>
      <c r="B37" s="9" t="s">
        <v>593</v>
      </c>
      <c r="C37" s="9">
        <v>2.82</v>
      </c>
      <c r="D37" s="9">
        <v>1</v>
      </c>
      <c r="E37" s="9">
        <v>2496</v>
      </c>
      <c r="F37" s="9">
        <v>0</v>
      </c>
      <c r="G37" s="9">
        <v>0</v>
      </c>
      <c r="H37" s="9">
        <v>2.9</v>
      </c>
      <c r="I37" s="9">
        <v>0</v>
      </c>
      <c r="J37" s="9">
        <v>-0.2</v>
      </c>
      <c r="K37" s="9">
        <v>-0.6</v>
      </c>
      <c r="L37" s="9">
        <v>61834</v>
      </c>
      <c r="M37" s="10" t="s">
        <v>822</v>
      </c>
    </row>
    <row r="38" spans="1:13">
      <c r="A38" s="5">
        <v>28</v>
      </c>
      <c r="B38" s="6" t="s">
        <v>593</v>
      </c>
      <c r="C38" s="6">
        <v>1.82</v>
      </c>
      <c r="D38" s="6">
        <v>0</v>
      </c>
      <c r="E38" s="6">
        <v>2497</v>
      </c>
      <c r="F38" s="6">
        <v>1</v>
      </c>
      <c r="G38" s="6">
        <v>0</v>
      </c>
      <c r="H38" s="6">
        <v>2.9</v>
      </c>
      <c r="I38" s="6">
        <v>0</v>
      </c>
      <c r="J38" s="6">
        <v>-0.1</v>
      </c>
      <c r="K38" s="6">
        <v>-0.6</v>
      </c>
      <c r="L38" s="6">
        <v>61834</v>
      </c>
      <c r="M38" s="7" t="s">
        <v>823</v>
      </c>
    </row>
    <row r="39" spans="1:13">
      <c r="A39" s="11">
        <v>29</v>
      </c>
      <c r="B39" s="12" t="s">
        <v>593</v>
      </c>
      <c r="C39" s="12">
        <v>0.8</v>
      </c>
      <c r="D39" s="12">
        <v>0</v>
      </c>
      <c r="E39" s="12">
        <v>2497</v>
      </c>
      <c r="F39" s="12">
        <v>0</v>
      </c>
      <c r="G39" s="12">
        <v>0</v>
      </c>
      <c r="H39" s="12">
        <v>3</v>
      </c>
      <c r="I39" s="12">
        <v>0</v>
      </c>
      <c r="J39" s="12">
        <v>-0.2</v>
      </c>
      <c r="K39" s="12">
        <v>-0.6</v>
      </c>
      <c r="L39" s="12">
        <v>61834</v>
      </c>
      <c r="M39" s="13" t="s">
        <v>824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7ED3-51B8-4FF0-B96B-1BC97C899430}">
  <dimension ref="A1:P40"/>
  <sheetViews>
    <sheetView zoomScale="70" zoomScaleNormal="70" workbookViewId="0">
      <selection activeCell="R8" sqref="R8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751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249</v>
      </c>
      <c r="C4" s="6" t="s">
        <v>13</v>
      </c>
      <c r="D4" s="6" t="s">
        <v>13</v>
      </c>
      <c r="E4" s="6" t="s">
        <v>19</v>
      </c>
      <c r="F4" s="6" t="s">
        <v>249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752</v>
      </c>
      <c r="C5" s="9" t="s">
        <v>13</v>
      </c>
      <c r="D5" s="9" t="s">
        <v>13</v>
      </c>
      <c r="E5" s="9" t="s">
        <v>22</v>
      </c>
      <c r="F5" s="9" t="s">
        <v>753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337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284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O10" s="22" t="s">
        <v>124</v>
      </c>
      <c r="P10">
        <v>13.76</v>
      </c>
    </row>
    <row r="11" spans="1:16">
      <c r="A11" s="8">
        <v>1</v>
      </c>
      <c r="B11" s="9" t="s">
        <v>341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51834</v>
      </c>
      <c r="M11" s="10" t="s">
        <v>344</v>
      </c>
      <c r="O11" s="23" t="s">
        <v>127</v>
      </c>
      <c r="P11">
        <f>SUM(F21:F26)</f>
        <v>2441</v>
      </c>
    </row>
    <row r="12" spans="1:16">
      <c r="A12" s="5">
        <v>2</v>
      </c>
      <c r="B12" s="6" t="s">
        <v>341</v>
      </c>
      <c r="C12" s="6">
        <v>1.01</v>
      </c>
      <c r="D12" s="6">
        <v>0</v>
      </c>
      <c r="E12" s="6">
        <v>1</v>
      </c>
      <c r="F12" s="6">
        <v>1</v>
      </c>
      <c r="G12" s="6">
        <v>0</v>
      </c>
      <c r="H12" s="6">
        <v>2.1</v>
      </c>
      <c r="I12" s="6">
        <v>0</v>
      </c>
      <c r="J12" s="6">
        <v>-0.5</v>
      </c>
      <c r="K12" s="6">
        <v>-0.5</v>
      </c>
      <c r="L12" s="6">
        <v>51834</v>
      </c>
      <c r="M12" s="7" t="s">
        <v>344</v>
      </c>
      <c r="O12" s="23" t="s">
        <v>125</v>
      </c>
      <c r="P12">
        <f>AVERAGE(H21:H26)</f>
        <v>0.39999999999999997</v>
      </c>
    </row>
    <row r="13" spans="1:16">
      <c r="A13" s="8">
        <v>3</v>
      </c>
      <c r="B13" s="9" t="s">
        <v>302</v>
      </c>
      <c r="C13" s="9">
        <v>2.02</v>
      </c>
      <c r="D13" s="9">
        <v>1</v>
      </c>
      <c r="E13" s="9">
        <v>1</v>
      </c>
      <c r="F13" s="9">
        <v>0</v>
      </c>
      <c r="G13" s="9">
        <v>0</v>
      </c>
      <c r="H13" s="9">
        <v>2.2000000000000002</v>
      </c>
      <c r="I13" s="9">
        <v>0</v>
      </c>
      <c r="J13" s="9">
        <v>-0.6</v>
      </c>
      <c r="K13" s="9">
        <v>-0.4</v>
      </c>
      <c r="L13" s="9">
        <v>51834</v>
      </c>
      <c r="M13" s="10" t="s">
        <v>754</v>
      </c>
      <c r="O13" s="23" t="s">
        <v>126</v>
      </c>
      <c r="P13">
        <f>AVERAGE(H27:H30)</f>
        <v>0.72499999999999998</v>
      </c>
    </row>
    <row r="14" spans="1:16">
      <c r="A14" s="5">
        <v>4</v>
      </c>
      <c r="B14" s="6" t="s">
        <v>302</v>
      </c>
      <c r="C14" s="6">
        <v>3.03</v>
      </c>
      <c r="D14" s="6">
        <v>1</v>
      </c>
      <c r="E14" s="6">
        <v>1</v>
      </c>
      <c r="F14" s="6">
        <v>0</v>
      </c>
      <c r="G14" s="6">
        <v>0</v>
      </c>
      <c r="H14" s="6">
        <v>2.7</v>
      </c>
      <c r="I14" s="6">
        <v>0</v>
      </c>
      <c r="J14" s="6">
        <v>-0.6</v>
      </c>
      <c r="K14" s="6">
        <v>-0.3</v>
      </c>
      <c r="L14" s="6">
        <v>51834</v>
      </c>
      <c r="M14" s="7" t="s">
        <v>755</v>
      </c>
    </row>
    <row r="15" spans="1:16">
      <c r="A15" s="8">
        <v>5</v>
      </c>
      <c r="B15" s="9" t="s">
        <v>532</v>
      </c>
      <c r="C15" s="9">
        <v>4.04</v>
      </c>
      <c r="D15" s="9">
        <v>1</v>
      </c>
      <c r="E15" s="9">
        <v>2</v>
      </c>
      <c r="F15" s="9">
        <v>1</v>
      </c>
      <c r="G15" s="9">
        <v>0</v>
      </c>
      <c r="H15" s="9">
        <v>2.6</v>
      </c>
      <c r="I15" s="9">
        <v>0</v>
      </c>
      <c r="J15" s="9">
        <v>-0.5</v>
      </c>
      <c r="K15" s="9">
        <v>-0.4</v>
      </c>
      <c r="L15" s="9">
        <v>51834</v>
      </c>
      <c r="M15" s="10" t="s">
        <v>756</v>
      </c>
    </row>
    <row r="16" spans="1:16">
      <c r="A16" s="5">
        <v>6</v>
      </c>
      <c r="B16" s="6" t="s">
        <v>532</v>
      </c>
      <c r="C16" s="6">
        <v>5.05</v>
      </c>
      <c r="D16" s="6">
        <v>1</v>
      </c>
      <c r="E16" s="6">
        <v>2</v>
      </c>
      <c r="F16" s="6">
        <v>0</v>
      </c>
      <c r="G16" s="6">
        <v>0</v>
      </c>
      <c r="H16" s="6">
        <v>2.7</v>
      </c>
      <c r="I16" s="6">
        <v>0</v>
      </c>
      <c r="J16" s="6">
        <v>-0.6</v>
      </c>
      <c r="K16" s="6">
        <v>-0.4</v>
      </c>
      <c r="L16" s="6">
        <v>51834</v>
      </c>
      <c r="M16" s="7" t="s">
        <v>757</v>
      </c>
    </row>
    <row r="17" spans="1:13">
      <c r="A17" s="8">
        <v>7</v>
      </c>
      <c r="B17" s="9" t="s">
        <v>532</v>
      </c>
      <c r="C17" s="9">
        <v>6.05</v>
      </c>
      <c r="D17" s="9">
        <v>1</v>
      </c>
      <c r="E17" s="9">
        <v>2</v>
      </c>
      <c r="F17" s="9">
        <v>0</v>
      </c>
      <c r="G17" s="9">
        <v>16.3</v>
      </c>
      <c r="H17" s="9">
        <v>2.7</v>
      </c>
      <c r="I17" s="9">
        <v>116</v>
      </c>
      <c r="J17" s="9">
        <v>-0.6</v>
      </c>
      <c r="K17" s="9">
        <v>-0.4</v>
      </c>
      <c r="L17" s="9">
        <v>51834</v>
      </c>
      <c r="M17" s="10" t="s">
        <v>758</v>
      </c>
    </row>
    <row r="18" spans="1:13">
      <c r="A18" s="5">
        <v>8</v>
      </c>
      <c r="B18" s="6" t="s">
        <v>759</v>
      </c>
      <c r="C18" s="6">
        <v>7.07</v>
      </c>
      <c r="D18" s="6">
        <v>1</v>
      </c>
      <c r="E18" s="6">
        <v>2</v>
      </c>
      <c r="F18" s="6">
        <v>0</v>
      </c>
      <c r="G18" s="6">
        <v>24</v>
      </c>
      <c r="H18" s="6">
        <v>2.6</v>
      </c>
      <c r="I18" s="6">
        <v>83</v>
      </c>
      <c r="J18" s="6">
        <v>-0.6</v>
      </c>
      <c r="K18" s="6">
        <v>-0.4</v>
      </c>
      <c r="L18" s="6">
        <v>51834</v>
      </c>
      <c r="M18" s="7" t="s">
        <v>760</v>
      </c>
    </row>
    <row r="19" spans="1:13">
      <c r="A19" s="8">
        <v>9</v>
      </c>
      <c r="B19" s="9" t="s">
        <v>759</v>
      </c>
      <c r="C19" s="9">
        <v>8.07</v>
      </c>
      <c r="D19" s="9">
        <v>1</v>
      </c>
      <c r="E19" s="9">
        <v>3</v>
      </c>
      <c r="F19" s="9">
        <v>1</v>
      </c>
      <c r="G19" s="9">
        <v>24</v>
      </c>
      <c r="H19" s="9">
        <v>2.5</v>
      </c>
      <c r="I19" s="9">
        <v>83</v>
      </c>
      <c r="J19" s="9">
        <v>-0.6</v>
      </c>
      <c r="K19" s="9">
        <v>-0.4</v>
      </c>
      <c r="L19" s="9">
        <v>51834</v>
      </c>
      <c r="M19" s="10" t="s">
        <v>761</v>
      </c>
    </row>
    <row r="20" spans="1:13">
      <c r="A20" s="5">
        <v>10</v>
      </c>
      <c r="B20" s="6" t="s">
        <v>762</v>
      </c>
      <c r="C20" s="6">
        <v>9.08</v>
      </c>
      <c r="D20" s="6">
        <v>1</v>
      </c>
      <c r="E20" s="6">
        <v>3</v>
      </c>
      <c r="F20" s="6">
        <v>0</v>
      </c>
      <c r="G20" s="6">
        <v>24</v>
      </c>
      <c r="H20" s="6">
        <v>2.5</v>
      </c>
      <c r="I20" s="6">
        <v>83</v>
      </c>
      <c r="J20" s="6">
        <v>-0.6</v>
      </c>
      <c r="K20" s="6">
        <v>-0.4</v>
      </c>
      <c r="L20" s="6">
        <v>51834</v>
      </c>
      <c r="M20" s="7" t="s">
        <v>764</v>
      </c>
    </row>
    <row r="21" spans="1:13">
      <c r="A21" s="8">
        <v>11</v>
      </c>
      <c r="B21" s="9" t="s">
        <v>762</v>
      </c>
      <c r="C21" s="9">
        <v>10.08</v>
      </c>
      <c r="D21" s="9">
        <v>1</v>
      </c>
      <c r="E21" s="9">
        <v>3</v>
      </c>
      <c r="F21" s="9">
        <v>0</v>
      </c>
      <c r="G21" s="9">
        <v>24</v>
      </c>
      <c r="H21" s="9">
        <v>0.4</v>
      </c>
      <c r="I21" s="9">
        <v>83</v>
      </c>
      <c r="J21" s="9">
        <v>-0.6</v>
      </c>
      <c r="K21" s="9">
        <v>-0.4</v>
      </c>
      <c r="L21" s="9">
        <v>51834</v>
      </c>
      <c r="M21" s="10" t="s">
        <v>766</v>
      </c>
    </row>
    <row r="22" spans="1:13">
      <c r="A22" s="5">
        <v>12</v>
      </c>
      <c r="B22" s="6" t="s">
        <v>252</v>
      </c>
      <c r="C22" s="6">
        <v>11.08</v>
      </c>
      <c r="D22" s="6">
        <v>302</v>
      </c>
      <c r="E22" s="6">
        <v>362</v>
      </c>
      <c r="F22" s="6">
        <v>359</v>
      </c>
      <c r="G22" s="6">
        <v>24</v>
      </c>
      <c r="H22" s="6">
        <v>0.4</v>
      </c>
      <c r="I22" s="6">
        <v>83</v>
      </c>
      <c r="J22" s="6">
        <v>-0.5</v>
      </c>
      <c r="K22" s="6">
        <v>-0.5</v>
      </c>
      <c r="L22" s="6">
        <v>51834</v>
      </c>
      <c r="M22" s="7" t="s">
        <v>768</v>
      </c>
    </row>
    <row r="23" spans="1:13">
      <c r="A23" s="8">
        <v>13</v>
      </c>
      <c r="B23" s="9" t="s">
        <v>256</v>
      </c>
      <c r="C23" s="9">
        <v>12.08</v>
      </c>
      <c r="D23" s="9">
        <v>296</v>
      </c>
      <c r="E23" s="9">
        <v>1116</v>
      </c>
      <c r="F23" s="9">
        <v>754</v>
      </c>
      <c r="G23" s="9">
        <v>24</v>
      </c>
      <c r="H23" s="9">
        <v>0.4</v>
      </c>
      <c r="I23" s="9">
        <v>85</v>
      </c>
      <c r="J23" s="9">
        <v>-0.4</v>
      </c>
      <c r="K23" s="9">
        <v>-0.5</v>
      </c>
      <c r="L23" s="9">
        <v>51834</v>
      </c>
      <c r="M23" s="10" t="s">
        <v>770</v>
      </c>
    </row>
    <row r="24" spans="1:13">
      <c r="A24" s="5">
        <v>14</v>
      </c>
      <c r="B24" s="6" t="s">
        <v>539</v>
      </c>
      <c r="C24" s="6">
        <v>13.08</v>
      </c>
      <c r="D24" s="6">
        <v>301</v>
      </c>
      <c r="E24" s="6">
        <v>1855</v>
      </c>
      <c r="F24" s="6">
        <v>739</v>
      </c>
      <c r="G24" s="6">
        <v>24</v>
      </c>
      <c r="H24" s="6">
        <v>0.4</v>
      </c>
      <c r="I24" s="6">
        <v>91</v>
      </c>
      <c r="J24" s="6">
        <v>-0.6</v>
      </c>
      <c r="K24" s="6">
        <v>-0.5</v>
      </c>
      <c r="L24" s="6">
        <v>51834</v>
      </c>
      <c r="M24" s="7" t="s">
        <v>772</v>
      </c>
    </row>
    <row r="25" spans="1:13">
      <c r="A25" s="8">
        <v>15</v>
      </c>
      <c r="B25" s="9" t="s">
        <v>269</v>
      </c>
      <c r="C25" s="9">
        <v>13.76</v>
      </c>
      <c r="D25" s="9">
        <v>297</v>
      </c>
      <c r="E25" s="9">
        <v>2386</v>
      </c>
      <c r="F25" s="9">
        <v>531</v>
      </c>
      <c r="G25" s="9">
        <v>24</v>
      </c>
      <c r="H25" s="9">
        <v>0.4</v>
      </c>
      <c r="I25" s="9">
        <v>95</v>
      </c>
      <c r="J25" s="9">
        <v>-0.6</v>
      </c>
      <c r="K25" s="9">
        <v>-0.4</v>
      </c>
      <c r="L25" s="9">
        <v>51834</v>
      </c>
      <c r="M25" s="10" t="s">
        <v>773</v>
      </c>
    </row>
    <row r="26" spans="1:13">
      <c r="A26" s="5">
        <v>16</v>
      </c>
      <c r="B26" s="6" t="s">
        <v>545</v>
      </c>
      <c r="C26" s="6">
        <v>13.76</v>
      </c>
      <c r="D26" s="6">
        <v>0</v>
      </c>
      <c r="E26" s="6">
        <v>2444</v>
      </c>
      <c r="F26" s="6">
        <v>58</v>
      </c>
      <c r="G26" s="6">
        <v>24</v>
      </c>
      <c r="H26" s="6">
        <v>0.4</v>
      </c>
      <c r="I26" s="6">
        <v>94</v>
      </c>
      <c r="J26" s="6">
        <v>-0.5</v>
      </c>
      <c r="K26" s="6">
        <v>-0.4</v>
      </c>
      <c r="L26" s="6">
        <v>51834</v>
      </c>
      <c r="M26" s="7" t="s">
        <v>774</v>
      </c>
    </row>
    <row r="27" spans="1:13">
      <c r="A27" s="8">
        <v>17</v>
      </c>
      <c r="B27" s="9" t="s">
        <v>545</v>
      </c>
      <c r="C27" s="9">
        <v>13.76</v>
      </c>
      <c r="D27" s="9">
        <v>1</v>
      </c>
      <c r="E27" s="9">
        <v>2444</v>
      </c>
      <c r="F27" s="9">
        <v>0</v>
      </c>
      <c r="G27" s="9">
        <v>24</v>
      </c>
      <c r="H27" s="9">
        <v>0</v>
      </c>
      <c r="I27" s="9">
        <v>93</v>
      </c>
      <c r="J27" s="9">
        <v>-0.5</v>
      </c>
      <c r="K27" s="9">
        <v>-0.4</v>
      </c>
      <c r="L27" s="9">
        <v>51834</v>
      </c>
      <c r="M27" s="10" t="s">
        <v>775</v>
      </c>
    </row>
    <row r="28" spans="1:13">
      <c r="A28" s="5">
        <v>18</v>
      </c>
      <c r="B28" s="6" t="s">
        <v>273</v>
      </c>
      <c r="C28" s="6">
        <v>12.76</v>
      </c>
      <c r="D28" s="6">
        <v>1</v>
      </c>
      <c r="E28" s="6">
        <v>2445</v>
      </c>
      <c r="F28" s="6">
        <v>1</v>
      </c>
      <c r="G28" s="6">
        <v>24</v>
      </c>
      <c r="H28" s="6">
        <v>1</v>
      </c>
      <c r="I28" s="6">
        <v>83</v>
      </c>
      <c r="J28" s="6">
        <v>-0.5</v>
      </c>
      <c r="K28" s="6">
        <v>-0.4</v>
      </c>
      <c r="L28" s="6">
        <v>51834</v>
      </c>
      <c r="M28" s="7" t="s">
        <v>776</v>
      </c>
    </row>
    <row r="29" spans="1:13">
      <c r="A29" s="8">
        <v>19</v>
      </c>
      <c r="B29" s="9" t="s">
        <v>548</v>
      </c>
      <c r="C29" s="9">
        <v>11.76</v>
      </c>
      <c r="D29" s="9">
        <v>0</v>
      </c>
      <c r="E29" s="9">
        <v>2446</v>
      </c>
      <c r="F29" s="9">
        <v>1</v>
      </c>
      <c r="G29" s="9">
        <v>24</v>
      </c>
      <c r="H29" s="9">
        <v>1</v>
      </c>
      <c r="I29" s="9">
        <v>83</v>
      </c>
      <c r="J29" s="9">
        <v>-0.6</v>
      </c>
      <c r="K29" s="9">
        <v>-0.4</v>
      </c>
      <c r="L29" s="9">
        <v>51834</v>
      </c>
      <c r="M29" s="10" t="s">
        <v>777</v>
      </c>
    </row>
    <row r="30" spans="1:13">
      <c r="A30" s="5">
        <v>20</v>
      </c>
      <c r="B30" s="6" t="s">
        <v>275</v>
      </c>
      <c r="C30" s="6">
        <v>10.76</v>
      </c>
      <c r="D30" s="6">
        <v>0</v>
      </c>
      <c r="E30" s="6">
        <v>2447</v>
      </c>
      <c r="F30" s="6">
        <v>1</v>
      </c>
      <c r="G30" s="6">
        <v>24</v>
      </c>
      <c r="H30" s="6">
        <v>0.9</v>
      </c>
      <c r="I30" s="6">
        <v>83</v>
      </c>
      <c r="J30" s="6">
        <v>-0.5</v>
      </c>
      <c r="K30" s="6">
        <v>-0.5</v>
      </c>
      <c r="L30" s="6">
        <v>51834</v>
      </c>
      <c r="M30" s="7" t="s">
        <v>778</v>
      </c>
    </row>
    <row r="31" spans="1:13">
      <c r="A31" s="8">
        <v>21</v>
      </c>
      <c r="B31" s="9" t="s">
        <v>554</v>
      </c>
      <c r="C31" s="9">
        <v>9.76</v>
      </c>
      <c r="D31" s="9">
        <v>0</v>
      </c>
      <c r="E31" s="9">
        <v>2447</v>
      </c>
      <c r="F31" s="9">
        <v>0</v>
      </c>
      <c r="G31" s="9">
        <v>0</v>
      </c>
      <c r="H31" s="9">
        <v>2.5</v>
      </c>
      <c r="I31" s="9">
        <v>0</v>
      </c>
      <c r="J31" s="9">
        <v>-0.5</v>
      </c>
      <c r="K31" s="9">
        <v>-0.5</v>
      </c>
      <c r="L31" s="9">
        <v>51834</v>
      </c>
      <c r="M31" s="10" t="s">
        <v>779</v>
      </c>
    </row>
    <row r="32" spans="1:13">
      <c r="A32" s="5">
        <v>22</v>
      </c>
      <c r="B32" s="6" t="s">
        <v>554</v>
      </c>
      <c r="C32" s="6">
        <v>8.74</v>
      </c>
      <c r="D32" s="6">
        <v>1</v>
      </c>
      <c r="E32" s="6">
        <v>2447</v>
      </c>
      <c r="F32" s="6">
        <v>0</v>
      </c>
      <c r="G32" s="6">
        <v>0</v>
      </c>
      <c r="H32" s="6">
        <v>2.6</v>
      </c>
      <c r="I32" s="6">
        <v>0</v>
      </c>
      <c r="J32" s="6">
        <v>-0.6</v>
      </c>
      <c r="K32" s="6">
        <v>-0.4</v>
      </c>
      <c r="L32" s="6">
        <v>51834</v>
      </c>
      <c r="M32" s="7" t="s">
        <v>780</v>
      </c>
    </row>
    <row r="33" spans="1:13">
      <c r="A33" s="8">
        <v>23</v>
      </c>
      <c r="B33" s="9" t="s">
        <v>278</v>
      </c>
      <c r="C33" s="9">
        <v>7.73</v>
      </c>
      <c r="D33" s="9">
        <v>1</v>
      </c>
      <c r="E33" s="9">
        <v>2448</v>
      </c>
      <c r="F33" s="9">
        <v>1</v>
      </c>
      <c r="G33" s="9">
        <v>0</v>
      </c>
      <c r="H33" s="9">
        <v>2.4</v>
      </c>
      <c r="I33" s="9">
        <v>0</v>
      </c>
      <c r="J33" s="9">
        <v>-0.6</v>
      </c>
      <c r="K33" s="9">
        <v>-0.4</v>
      </c>
      <c r="L33" s="9">
        <v>51834</v>
      </c>
      <c r="M33" s="10" t="s">
        <v>781</v>
      </c>
    </row>
    <row r="34" spans="1:13">
      <c r="A34" s="5">
        <v>24</v>
      </c>
      <c r="B34" s="6" t="s">
        <v>278</v>
      </c>
      <c r="C34" s="6">
        <v>6.71</v>
      </c>
      <c r="D34" s="6">
        <v>1</v>
      </c>
      <c r="E34" s="6">
        <v>2448</v>
      </c>
      <c r="F34" s="6">
        <v>0</v>
      </c>
      <c r="G34" s="6">
        <v>0</v>
      </c>
      <c r="H34" s="6">
        <v>2.5</v>
      </c>
      <c r="I34" s="6">
        <v>0</v>
      </c>
      <c r="J34" s="6">
        <v>-0.5</v>
      </c>
      <c r="K34" s="6">
        <v>-0.4</v>
      </c>
      <c r="L34" s="6">
        <v>51834</v>
      </c>
      <c r="M34" s="7" t="s">
        <v>782</v>
      </c>
    </row>
    <row r="35" spans="1:13">
      <c r="A35" s="8">
        <v>25</v>
      </c>
      <c r="B35" s="9" t="s">
        <v>280</v>
      </c>
      <c r="C35" s="9">
        <v>5.69</v>
      </c>
      <c r="D35" s="9">
        <v>1</v>
      </c>
      <c r="E35" s="9">
        <v>2448</v>
      </c>
      <c r="F35" s="9">
        <v>0</v>
      </c>
      <c r="G35" s="9">
        <v>0</v>
      </c>
      <c r="H35" s="9">
        <v>2.4</v>
      </c>
      <c r="I35" s="9">
        <v>0</v>
      </c>
      <c r="J35" s="9">
        <v>-0.5</v>
      </c>
      <c r="K35" s="9">
        <v>-0.4</v>
      </c>
      <c r="L35" s="9">
        <v>51834</v>
      </c>
      <c r="M35" s="10" t="s">
        <v>783</v>
      </c>
    </row>
    <row r="36" spans="1:13">
      <c r="A36" s="5">
        <v>26</v>
      </c>
      <c r="B36" s="6" t="s">
        <v>280</v>
      </c>
      <c r="C36" s="6">
        <v>4.6900000000000004</v>
      </c>
      <c r="D36" s="6">
        <v>1</v>
      </c>
      <c r="E36" s="6">
        <v>2448</v>
      </c>
      <c r="F36" s="6">
        <v>0</v>
      </c>
      <c r="G36" s="6">
        <v>0</v>
      </c>
      <c r="H36" s="6">
        <v>2.5</v>
      </c>
      <c r="I36" s="6">
        <v>0</v>
      </c>
      <c r="J36" s="6">
        <v>-0.6</v>
      </c>
      <c r="K36" s="6">
        <v>-0.4</v>
      </c>
      <c r="L36" s="6">
        <v>51834</v>
      </c>
      <c r="M36" s="7" t="s">
        <v>784</v>
      </c>
    </row>
    <row r="37" spans="1:13">
      <c r="A37" s="8">
        <v>27</v>
      </c>
      <c r="B37" s="9" t="s">
        <v>280</v>
      </c>
      <c r="C37" s="9">
        <v>3.67</v>
      </c>
      <c r="D37" s="9">
        <v>0</v>
      </c>
      <c r="E37" s="9">
        <v>2449</v>
      </c>
      <c r="F37" s="9">
        <v>1</v>
      </c>
      <c r="G37" s="9">
        <v>0</v>
      </c>
      <c r="H37" s="9">
        <v>2.5</v>
      </c>
      <c r="I37" s="9">
        <v>0</v>
      </c>
      <c r="J37" s="9">
        <v>-0.6</v>
      </c>
      <c r="K37" s="9">
        <v>-0.4</v>
      </c>
      <c r="L37" s="9">
        <v>51834</v>
      </c>
      <c r="M37" s="10" t="s">
        <v>785</v>
      </c>
    </row>
    <row r="38" spans="1:13">
      <c r="A38" s="5">
        <v>28</v>
      </c>
      <c r="B38" s="6" t="s">
        <v>282</v>
      </c>
      <c r="C38" s="6">
        <v>2.66</v>
      </c>
      <c r="D38" s="6">
        <v>0</v>
      </c>
      <c r="E38" s="6">
        <v>2449</v>
      </c>
      <c r="F38" s="6">
        <v>0</v>
      </c>
      <c r="G38" s="6">
        <v>0</v>
      </c>
      <c r="H38" s="6">
        <v>2.4</v>
      </c>
      <c r="I38" s="6">
        <v>0</v>
      </c>
      <c r="J38" s="6">
        <v>-0.6</v>
      </c>
      <c r="K38" s="6">
        <v>-0.4</v>
      </c>
      <c r="L38" s="6">
        <v>51834</v>
      </c>
      <c r="M38" s="7" t="s">
        <v>786</v>
      </c>
    </row>
    <row r="39" spans="1:13">
      <c r="A39" s="8">
        <v>29</v>
      </c>
      <c r="B39" s="9" t="s">
        <v>282</v>
      </c>
      <c r="C39" s="9">
        <v>1.65</v>
      </c>
      <c r="D39" s="9">
        <v>1</v>
      </c>
      <c r="E39" s="9">
        <v>2449</v>
      </c>
      <c r="F39" s="9">
        <v>0</v>
      </c>
      <c r="G39" s="9">
        <v>0</v>
      </c>
      <c r="H39" s="9">
        <v>2.4</v>
      </c>
      <c r="I39" s="9">
        <v>0</v>
      </c>
      <c r="J39" s="9">
        <v>-0.6</v>
      </c>
      <c r="K39" s="9">
        <v>-0.5</v>
      </c>
      <c r="L39" s="9">
        <v>51834</v>
      </c>
      <c r="M39" s="10" t="s">
        <v>787</v>
      </c>
    </row>
    <row r="40" spans="1:13">
      <c r="A40" s="19">
        <v>30</v>
      </c>
      <c r="B40" s="20" t="s">
        <v>284</v>
      </c>
      <c r="C40" s="20">
        <v>0.65</v>
      </c>
      <c r="D40" s="20">
        <v>1</v>
      </c>
      <c r="E40" s="20">
        <v>2449</v>
      </c>
      <c r="F40" s="20">
        <v>0</v>
      </c>
      <c r="G40" s="20">
        <v>0</v>
      </c>
      <c r="H40" s="20">
        <v>2.4</v>
      </c>
      <c r="I40" s="20">
        <v>0</v>
      </c>
      <c r="J40" s="20">
        <v>-0.5</v>
      </c>
      <c r="K40" s="20">
        <v>-0.4</v>
      </c>
      <c r="L40" s="20">
        <v>51834</v>
      </c>
      <c r="M40" s="21" t="s">
        <v>788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0952-D343-4210-9756-722FEB82A8A2}">
  <dimension ref="A1:P39"/>
  <sheetViews>
    <sheetView topLeftCell="A7" workbookViewId="0">
      <selection activeCell="P19" sqref="P19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717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718</v>
      </c>
      <c r="C4" s="6" t="s">
        <v>13</v>
      </c>
      <c r="D4" s="6" t="s">
        <v>13</v>
      </c>
      <c r="E4" s="6" t="s">
        <v>19</v>
      </c>
      <c r="F4" s="6" t="s">
        <v>719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720</v>
      </c>
      <c r="C5" s="9" t="s">
        <v>13</v>
      </c>
      <c r="D5" s="9" t="s">
        <v>13</v>
      </c>
      <c r="E5" s="9" t="s">
        <v>22</v>
      </c>
      <c r="F5" s="9" t="s">
        <v>721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495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204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O10" s="22" t="s">
        <v>124</v>
      </c>
      <c r="P10">
        <v>10.71</v>
      </c>
    </row>
    <row r="11" spans="1:16">
      <c r="A11" s="8">
        <v>1</v>
      </c>
      <c r="B11" s="9" t="s">
        <v>499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41834</v>
      </c>
      <c r="M11" s="10" t="s">
        <v>500</v>
      </c>
      <c r="O11" s="23" t="s">
        <v>127</v>
      </c>
      <c r="P11">
        <f>SUM(F21:F27)</f>
        <v>2306</v>
      </c>
    </row>
    <row r="12" spans="1:16">
      <c r="A12" s="5">
        <v>2</v>
      </c>
      <c r="B12" s="6" t="s">
        <v>499</v>
      </c>
      <c r="C12" s="6">
        <v>1.02</v>
      </c>
      <c r="D12" s="6">
        <v>0</v>
      </c>
      <c r="E12" s="6">
        <v>0</v>
      </c>
      <c r="F12" s="6">
        <v>0</v>
      </c>
      <c r="G12" s="6">
        <v>0</v>
      </c>
      <c r="H12" s="6">
        <v>2.9</v>
      </c>
      <c r="I12" s="6">
        <v>0</v>
      </c>
      <c r="J12" s="6">
        <v>-0.2</v>
      </c>
      <c r="K12" s="6">
        <v>-0.4</v>
      </c>
      <c r="L12" s="6">
        <v>41834</v>
      </c>
      <c r="M12" s="7" t="s">
        <v>500</v>
      </c>
      <c r="O12" s="23" t="s">
        <v>125</v>
      </c>
      <c r="P12">
        <f>AVERAGE(H21:H25)</f>
        <v>0.38</v>
      </c>
    </row>
    <row r="13" spans="1:16">
      <c r="A13" s="8">
        <v>3</v>
      </c>
      <c r="B13" s="9" t="s">
        <v>499</v>
      </c>
      <c r="C13" s="9">
        <v>2.02</v>
      </c>
      <c r="D13" s="9">
        <v>1</v>
      </c>
      <c r="E13" s="9">
        <v>1</v>
      </c>
      <c r="F13" s="9">
        <v>1</v>
      </c>
      <c r="G13" s="9">
        <v>0</v>
      </c>
      <c r="H13" s="9">
        <v>2.9</v>
      </c>
      <c r="I13" s="9">
        <v>0</v>
      </c>
      <c r="J13" s="9">
        <v>-0.3</v>
      </c>
      <c r="K13" s="9">
        <v>-0.4</v>
      </c>
      <c r="L13" s="9">
        <v>41834</v>
      </c>
      <c r="M13" s="10" t="s">
        <v>722</v>
      </c>
      <c r="O13" s="23" t="s">
        <v>126</v>
      </c>
      <c r="P13">
        <f>AVERAGE(H26:H29)</f>
        <v>0.75</v>
      </c>
    </row>
    <row r="14" spans="1:16">
      <c r="A14" s="5">
        <v>4</v>
      </c>
      <c r="B14" s="6" t="s">
        <v>499</v>
      </c>
      <c r="C14" s="6">
        <v>3.04</v>
      </c>
      <c r="D14" s="6">
        <v>0</v>
      </c>
      <c r="E14" s="6">
        <v>1</v>
      </c>
      <c r="F14" s="6">
        <v>0</v>
      </c>
      <c r="G14" s="6">
        <v>0</v>
      </c>
      <c r="H14" s="6">
        <v>2.9</v>
      </c>
      <c r="I14" s="6">
        <v>0</v>
      </c>
      <c r="J14" s="6">
        <v>-0.2</v>
      </c>
      <c r="K14" s="6">
        <v>-0.5</v>
      </c>
      <c r="L14" s="6">
        <v>41834</v>
      </c>
      <c r="M14" s="7" t="s">
        <v>723</v>
      </c>
    </row>
    <row r="15" spans="1:16">
      <c r="A15" s="8">
        <v>5</v>
      </c>
      <c r="B15" s="9" t="s">
        <v>203</v>
      </c>
      <c r="C15" s="9">
        <v>4.05</v>
      </c>
      <c r="D15" s="9">
        <v>0</v>
      </c>
      <c r="E15" s="9">
        <v>1</v>
      </c>
      <c r="F15" s="9">
        <v>0</v>
      </c>
      <c r="G15" s="9">
        <v>0</v>
      </c>
      <c r="H15" s="9">
        <v>2.8</v>
      </c>
      <c r="I15" s="9">
        <v>0</v>
      </c>
      <c r="J15" s="9">
        <v>-0.2</v>
      </c>
      <c r="K15" s="9">
        <v>-0.5</v>
      </c>
      <c r="L15" s="9">
        <v>41834</v>
      </c>
      <c r="M15" s="10" t="s">
        <v>724</v>
      </c>
    </row>
    <row r="16" spans="1:16">
      <c r="A16" s="5">
        <v>6</v>
      </c>
      <c r="B16" s="6" t="s">
        <v>203</v>
      </c>
      <c r="C16" s="6">
        <v>5.05</v>
      </c>
      <c r="D16" s="6">
        <v>0</v>
      </c>
      <c r="E16" s="6">
        <v>1</v>
      </c>
      <c r="F16" s="6">
        <v>0</v>
      </c>
      <c r="G16" s="6">
        <v>0</v>
      </c>
      <c r="H16" s="6">
        <v>2.9</v>
      </c>
      <c r="I16" s="6">
        <v>0</v>
      </c>
      <c r="J16" s="6">
        <v>-0.2</v>
      </c>
      <c r="K16" s="6">
        <v>-0.4</v>
      </c>
      <c r="L16" s="6">
        <v>41834</v>
      </c>
      <c r="M16" s="7" t="s">
        <v>725</v>
      </c>
    </row>
    <row r="17" spans="1:13">
      <c r="A17" s="8">
        <v>7</v>
      </c>
      <c r="B17" s="9" t="s">
        <v>203</v>
      </c>
      <c r="C17" s="9">
        <v>6.05</v>
      </c>
      <c r="D17" s="9">
        <v>1</v>
      </c>
      <c r="E17" s="9">
        <v>2</v>
      </c>
      <c r="F17" s="9">
        <v>1</v>
      </c>
      <c r="G17" s="9">
        <v>18.899999999999999</v>
      </c>
      <c r="H17" s="9">
        <v>2.8</v>
      </c>
      <c r="I17" s="9">
        <v>106</v>
      </c>
      <c r="J17" s="9">
        <v>-0.3</v>
      </c>
      <c r="K17" s="9">
        <v>-0.4</v>
      </c>
      <c r="L17" s="9">
        <v>41834</v>
      </c>
      <c r="M17" s="10" t="s">
        <v>726</v>
      </c>
    </row>
    <row r="18" spans="1:13">
      <c r="A18" s="5">
        <v>8</v>
      </c>
      <c r="B18" s="6" t="s">
        <v>205</v>
      </c>
      <c r="C18" s="6">
        <v>7.08</v>
      </c>
      <c r="D18" s="6">
        <v>0</v>
      </c>
      <c r="E18" s="6">
        <v>2</v>
      </c>
      <c r="F18" s="6">
        <v>0</v>
      </c>
      <c r="G18" s="6">
        <v>24</v>
      </c>
      <c r="H18" s="6">
        <v>2.8</v>
      </c>
      <c r="I18" s="6">
        <v>83</v>
      </c>
      <c r="J18" s="6">
        <v>-0.2</v>
      </c>
      <c r="K18" s="6">
        <v>-0.4</v>
      </c>
      <c r="L18" s="6">
        <v>41834</v>
      </c>
      <c r="M18" s="7" t="s">
        <v>727</v>
      </c>
    </row>
    <row r="19" spans="1:13">
      <c r="A19" s="8">
        <v>9</v>
      </c>
      <c r="B19" s="9" t="s">
        <v>205</v>
      </c>
      <c r="C19" s="9">
        <v>8.09</v>
      </c>
      <c r="D19" s="9">
        <v>1</v>
      </c>
      <c r="E19" s="9">
        <v>2</v>
      </c>
      <c r="F19" s="9">
        <v>0</v>
      </c>
      <c r="G19" s="9">
        <v>24</v>
      </c>
      <c r="H19" s="9">
        <v>2.7</v>
      </c>
      <c r="I19" s="9">
        <v>83</v>
      </c>
      <c r="J19" s="9">
        <v>-0.3</v>
      </c>
      <c r="K19" s="9">
        <v>-0.4</v>
      </c>
      <c r="L19" s="9">
        <v>41834</v>
      </c>
      <c r="M19" s="10" t="s">
        <v>728</v>
      </c>
    </row>
    <row r="20" spans="1:13">
      <c r="A20" s="5">
        <v>10</v>
      </c>
      <c r="B20" s="6" t="s">
        <v>207</v>
      </c>
      <c r="C20" s="6">
        <v>9.1</v>
      </c>
      <c r="D20" s="6">
        <v>1</v>
      </c>
      <c r="E20" s="6">
        <v>2</v>
      </c>
      <c r="F20" s="6">
        <v>0</v>
      </c>
      <c r="G20" s="6">
        <v>24</v>
      </c>
      <c r="H20" s="6">
        <v>2.7</v>
      </c>
      <c r="I20" s="6">
        <v>83</v>
      </c>
      <c r="J20" s="6">
        <v>-0.2</v>
      </c>
      <c r="K20" s="6">
        <v>-0.4</v>
      </c>
      <c r="L20" s="6">
        <v>41834</v>
      </c>
      <c r="M20" s="7" t="s">
        <v>729</v>
      </c>
    </row>
    <row r="21" spans="1:13">
      <c r="A21" s="8">
        <v>11</v>
      </c>
      <c r="B21" s="9" t="s">
        <v>212</v>
      </c>
      <c r="C21" s="9">
        <v>10.1</v>
      </c>
      <c r="D21" s="9">
        <v>0</v>
      </c>
      <c r="E21" s="9">
        <v>3</v>
      </c>
      <c r="F21" s="9">
        <v>1</v>
      </c>
      <c r="G21" s="9">
        <v>24</v>
      </c>
      <c r="H21" s="9">
        <v>0.3</v>
      </c>
      <c r="I21" s="9">
        <v>83</v>
      </c>
      <c r="J21" s="9">
        <v>-0.2</v>
      </c>
      <c r="K21" s="9">
        <v>-0.4</v>
      </c>
      <c r="L21" s="9">
        <v>41834</v>
      </c>
      <c r="M21" s="10" t="s">
        <v>730</v>
      </c>
    </row>
    <row r="22" spans="1:13">
      <c r="A22" s="5">
        <v>12</v>
      </c>
      <c r="B22" s="6" t="s">
        <v>219</v>
      </c>
      <c r="C22" s="6">
        <v>11.1</v>
      </c>
      <c r="D22" s="6">
        <v>308</v>
      </c>
      <c r="E22" s="6">
        <v>397</v>
      </c>
      <c r="F22" s="6">
        <v>394</v>
      </c>
      <c r="G22" s="6">
        <v>24</v>
      </c>
      <c r="H22" s="6">
        <v>0.4</v>
      </c>
      <c r="I22" s="6">
        <v>83</v>
      </c>
      <c r="J22" s="6">
        <v>-0.2</v>
      </c>
      <c r="K22" s="6">
        <v>-0.4</v>
      </c>
      <c r="L22" s="6">
        <v>41834</v>
      </c>
      <c r="M22" s="7" t="s">
        <v>731</v>
      </c>
    </row>
    <row r="23" spans="1:13">
      <c r="A23" s="8">
        <v>13</v>
      </c>
      <c r="B23" s="9" t="s">
        <v>732</v>
      </c>
      <c r="C23" s="9">
        <v>12.1</v>
      </c>
      <c r="D23" s="9">
        <v>295</v>
      </c>
      <c r="E23" s="9">
        <v>1110</v>
      </c>
      <c r="F23" s="9">
        <v>713</v>
      </c>
      <c r="G23" s="9">
        <v>24</v>
      </c>
      <c r="H23" s="9">
        <v>0.4</v>
      </c>
      <c r="I23" s="9">
        <v>85</v>
      </c>
      <c r="J23" s="9">
        <v>-0.3</v>
      </c>
      <c r="K23" s="9">
        <v>-0.4</v>
      </c>
      <c r="L23" s="9">
        <v>41834</v>
      </c>
      <c r="M23" s="10" t="s">
        <v>733</v>
      </c>
    </row>
    <row r="24" spans="1:13">
      <c r="A24" s="5">
        <v>14</v>
      </c>
      <c r="B24" s="6" t="s">
        <v>223</v>
      </c>
      <c r="C24" s="6">
        <v>13.1</v>
      </c>
      <c r="D24" s="6">
        <v>291</v>
      </c>
      <c r="E24" s="6">
        <v>1809</v>
      </c>
      <c r="F24" s="6">
        <v>699</v>
      </c>
      <c r="G24" s="6">
        <v>24</v>
      </c>
      <c r="H24" s="6">
        <v>0.4</v>
      </c>
      <c r="I24" s="6">
        <v>91</v>
      </c>
      <c r="J24" s="6">
        <v>-0.3</v>
      </c>
      <c r="K24" s="6">
        <v>-0.4</v>
      </c>
      <c r="L24" s="6">
        <v>41834</v>
      </c>
      <c r="M24" s="7" t="s">
        <v>734</v>
      </c>
    </row>
    <row r="25" spans="1:13">
      <c r="A25" s="8">
        <v>15</v>
      </c>
      <c r="B25" s="9" t="s">
        <v>735</v>
      </c>
      <c r="C25" s="9">
        <v>13.71</v>
      </c>
      <c r="D25" s="9">
        <v>306</v>
      </c>
      <c r="E25" s="9">
        <v>2263</v>
      </c>
      <c r="F25" s="9">
        <v>454</v>
      </c>
      <c r="G25" s="9">
        <v>24</v>
      </c>
      <c r="H25" s="9">
        <v>0.4</v>
      </c>
      <c r="I25" s="9">
        <v>96</v>
      </c>
      <c r="J25" s="9">
        <v>-0.3</v>
      </c>
      <c r="K25" s="9">
        <v>-0.4</v>
      </c>
      <c r="L25" s="9">
        <v>41834</v>
      </c>
      <c r="M25" s="10" t="s">
        <v>736</v>
      </c>
    </row>
    <row r="26" spans="1:13">
      <c r="A26" s="5">
        <v>16</v>
      </c>
      <c r="B26" s="6" t="s">
        <v>735</v>
      </c>
      <c r="C26" s="6">
        <v>13.72</v>
      </c>
      <c r="D26" s="6">
        <v>155</v>
      </c>
      <c r="E26" s="6">
        <v>2300</v>
      </c>
      <c r="F26" s="6">
        <v>37</v>
      </c>
      <c r="G26" s="6">
        <v>24</v>
      </c>
      <c r="H26" s="6">
        <v>0</v>
      </c>
      <c r="I26" s="6">
        <v>89</v>
      </c>
      <c r="J26" s="6">
        <v>-0.2</v>
      </c>
      <c r="K26" s="6">
        <v>-0.4</v>
      </c>
      <c r="L26" s="6">
        <v>41834</v>
      </c>
      <c r="M26" s="7" t="s">
        <v>737</v>
      </c>
    </row>
    <row r="27" spans="1:13">
      <c r="A27" s="8">
        <v>17</v>
      </c>
      <c r="B27" s="9" t="s">
        <v>509</v>
      </c>
      <c r="C27" s="9">
        <v>12.71</v>
      </c>
      <c r="D27" s="9">
        <v>1</v>
      </c>
      <c r="E27" s="9">
        <v>2308</v>
      </c>
      <c r="F27" s="9">
        <v>8</v>
      </c>
      <c r="G27" s="9">
        <v>24</v>
      </c>
      <c r="H27" s="9">
        <v>1</v>
      </c>
      <c r="I27" s="9">
        <v>84</v>
      </c>
      <c r="J27" s="9">
        <v>-0.3</v>
      </c>
      <c r="K27" s="9">
        <v>-0.4</v>
      </c>
      <c r="L27" s="9">
        <v>41834</v>
      </c>
      <c r="M27" s="10" t="s">
        <v>738</v>
      </c>
    </row>
    <row r="28" spans="1:13">
      <c r="A28" s="5">
        <v>18</v>
      </c>
      <c r="B28" s="6" t="s">
        <v>229</v>
      </c>
      <c r="C28" s="6">
        <v>11.71</v>
      </c>
      <c r="D28" s="6">
        <v>1</v>
      </c>
      <c r="E28" s="6">
        <v>2309</v>
      </c>
      <c r="F28" s="6">
        <v>1</v>
      </c>
      <c r="G28" s="6">
        <v>24</v>
      </c>
      <c r="H28" s="6">
        <v>1</v>
      </c>
      <c r="I28" s="6">
        <v>83</v>
      </c>
      <c r="J28" s="6">
        <v>-0.2</v>
      </c>
      <c r="K28" s="6">
        <v>-0.5</v>
      </c>
      <c r="L28" s="6">
        <v>41834</v>
      </c>
      <c r="M28" s="7" t="s">
        <v>739</v>
      </c>
    </row>
    <row r="29" spans="1:13">
      <c r="A29" s="8">
        <v>19</v>
      </c>
      <c r="B29" s="9" t="s">
        <v>231</v>
      </c>
      <c r="C29" s="9">
        <v>10.71</v>
      </c>
      <c r="D29" s="9">
        <v>1</v>
      </c>
      <c r="E29" s="9">
        <v>2309</v>
      </c>
      <c r="F29" s="9">
        <v>0</v>
      </c>
      <c r="G29" s="9">
        <v>24</v>
      </c>
      <c r="H29" s="9">
        <v>1</v>
      </c>
      <c r="I29" s="9">
        <v>83</v>
      </c>
      <c r="J29" s="9">
        <v>-0.3</v>
      </c>
      <c r="K29" s="9">
        <v>-0.4</v>
      </c>
      <c r="L29" s="9">
        <v>41834</v>
      </c>
      <c r="M29" s="10" t="s">
        <v>740</v>
      </c>
    </row>
    <row r="30" spans="1:13">
      <c r="A30" s="5">
        <v>20</v>
      </c>
      <c r="B30" s="6" t="s">
        <v>233</v>
      </c>
      <c r="C30" s="6">
        <v>9.6999999999999993</v>
      </c>
      <c r="D30" s="6">
        <v>0</v>
      </c>
      <c r="E30" s="6">
        <v>2310</v>
      </c>
      <c r="F30" s="6">
        <v>1</v>
      </c>
      <c r="G30" s="6">
        <v>24</v>
      </c>
      <c r="H30" s="6">
        <v>2.9</v>
      </c>
      <c r="I30" s="6">
        <v>83</v>
      </c>
      <c r="J30" s="6">
        <v>-0.3</v>
      </c>
      <c r="K30" s="6">
        <v>-0.4</v>
      </c>
      <c r="L30" s="6">
        <v>41834</v>
      </c>
      <c r="M30" s="7" t="s">
        <v>741</v>
      </c>
    </row>
    <row r="31" spans="1:13">
      <c r="A31" s="8">
        <v>21</v>
      </c>
      <c r="B31" s="9" t="s">
        <v>235</v>
      </c>
      <c r="C31" s="9">
        <v>8.67</v>
      </c>
      <c r="D31" s="9">
        <v>1</v>
      </c>
      <c r="E31" s="9">
        <v>2310</v>
      </c>
      <c r="F31" s="9">
        <v>0</v>
      </c>
      <c r="G31" s="9">
        <v>0</v>
      </c>
      <c r="H31" s="9">
        <v>3.2</v>
      </c>
      <c r="I31" s="9">
        <v>0</v>
      </c>
      <c r="J31" s="9">
        <v>-0.3</v>
      </c>
      <c r="K31" s="9">
        <v>-0.4</v>
      </c>
      <c r="L31" s="9">
        <v>41834</v>
      </c>
      <c r="M31" s="10" t="s">
        <v>742</v>
      </c>
    </row>
    <row r="32" spans="1:13">
      <c r="A32" s="5">
        <v>22</v>
      </c>
      <c r="B32" s="6" t="s">
        <v>235</v>
      </c>
      <c r="C32" s="6">
        <v>7.65</v>
      </c>
      <c r="D32" s="6">
        <v>0</v>
      </c>
      <c r="E32" s="6">
        <v>2310</v>
      </c>
      <c r="F32" s="6">
        <v>0</v>
      </c>
      <c r="G32" s="6">
        <v>0</v>
      </c>
      <c r="H32" s="6">
        <v>2.9</v>
      </c>
      <c r="I32" s="6">
        <v>0</v>
      </c>
      <c r="J32" s="6">
        <v>-0.3</v>
      </c>
      <c r="K32" s="6">
        <v>-0.4</v>
      </c>
      <c r="L32" s="6">
        <v>41834</v>
      </c>
      <c r="M32" s="7" t="s">
        <v>743</v>
      </c>
    </row>
    <row r="33" spans="1:13">
      <c r="A33" s="8">
        <v>23</v>
      </c>
      <c r="B33" s="9" t="s">
        <v>235</v>
      </c>
      <c r="C33" s="9">
        <v>6.65</v>
      </c>
      <c r="D33" s="9">
        <v>1</v>
      </c>
      <c r="E33" s="9">
        <v>2311</v>
      </c>
      <c r="F33" s="9">
        <v>1</v>
      </c>
      <c r="G33" s="9">
        <v>0</v>
      </c>
      <c r="H33" s="9">
        <v>3.1</v>
      </c>
      <c r="I33" s="9">
        <v>0</v>
      </c>
      <c r="J33" s="9">
        <v>-0.3</v>
      </c>
      <c r="K33" s="9">
        <v>-0.4</v>
      </c>
      <c r="L33" s="9">
        <v>41834</v>
      </c>
      <c r="M33" s="10" t="s">
        <v>744</v>
      </c>
    </row>
    <row r="34" spans="1:13">
      <c r="A34" s="5">
        <v>24</v>
      </c>
      <c r="B34" s="6" t="s">
        <v>238</v>
      </c>
      <c r="C34" s="6">
        <v>5.65</v>
      </c>
      <c r="D34" s="6">
        <v>0</v>
      </c>
      <c r="E34" s="6">
        <v>2311</v>
      </c>
      <c r="F34" s="6">
        <v>0</v>
      </c>
      <c r="G34" s="6">
        <v>0</v>
      </c>
      <c r="H34" s="6">
        <v>3</v>
      </c>
      <c r="I34" s="6">
        <v>0</v>
      </c>
      <c r="J34" s="6">
        <v>-0.3</v>
      </c>
      <c r="K34" s="6">
        <v>-0.4</v>
      </c>
      <c r="L34" s="6">
        <v>41834</v>
      </c>
      <c r="M34" s="7" t="s">
        <v>745</v>
      </c>
    </row>
    <row r="35" spans="1:13">
      <c r="A35" s="8">
        <v>25</v>
      </c>
      <c r="B35" s="9" t="s">
        <v>238</v>
      </c>
      <c r="C35" s="9">
        <v>4.6500000000000004</v>
      </c>
      <c r="D35" s="9">
        <v>1</v>
      </c>
      <c r="E35" s="9">
        <v>2311</v>
      </c>
      <c r="F35" s="9">
        <v>0</v>
      </c>
      <c r="G35" s="9">
        <v>0</v>
      </c>
      <c r="H35" s="9">
        <v>3.1</v>
      </c>
      <c r="I35" s="9">
        <v>0</v>
      </c>
      <c r="J35" s="9">
        <v>-0.2</v>
      </c>
      <c r="K35" s="9">
        <v>-0.4</v>
      </c>
      <c r="L35" s="9">
        <v>41834</v>
      </c>
      <c r="M35" s="10" t="s">
        <v>746</v>
      </c>
    </row>
    <row r="36" spans="1:13">
      <c r="A36" s="5">
        <v>26</v>
      </c>
      <c r="B36" s="6" t="s">
        <v>238</v>
      </c>
      <c r="C36" s="6">
        <v>3.64</v>
      </c>
      <c r="D36" s="6">
        <v>1</v>
      </c>
      <c r="E36" s="6">
        <v>2311</v>
      </c>
      <c r="F36" s="6">
        <v>0</v>
      </c>
      <c r="G36" s="6">
        <v>0</v>
      </c>
      <c r="H36" s="6">
        <v>2.9</v>
      </c>
      <c r="I36" s="6">
        <v>0</v>
      </c>
      <c r="J36" s="6">
        <v>-0.2</v>
      </c>
      <c r="K36" s="6">
        <v>-0.4</v>
      </c>
      <c r="L36" s="6">
        <v>41834</v>
      </c>
      <c r="M36" s="7" t="s">
        <v>747</v>
      </c>
    </row>
    <row r="37" spans="1:13">
      <c r="A37" s="8">
        <v>27</v>
      </c>
      <c r="B37" s="9" t="s">
        <v>242</v>
      </c>
      <c r="C37" s="9">
        <v>2.63</v>
      </c>
      <c r="D37" s="9">
        <v>1</v>
      </c>
      <c r="E37" s="9">
        <v>2312</v>
      </c>
      <c r="F37" s="9">
        <v>1</v>
      </c>
      <c r="G37" s="9">
        <v>0</v>
      </c>
      <c r="H37" s="9">
        <v>2.9</v>
      </c>
      <c r="I37" s="9">
        <v>0</v>
      </c>
      <c r="J37" s="9">
        <v>-0.3</v>
      </c>
      <c r="K37" s="9">
        <v>-0.4</v>
      </c>
      <c r="L37" s="9">
        <v>41834</v>
      </c>
      <c r="M37" s="10" t="s">
        <v>748</v>
      </c>
    </row>
    <row r="38" spans="1:13">
      <c r="A38" s="5">
        <v>28</v>
      </c>
      <c r="B38" s="6" t="s">
        <v>242</v>
      </c>
      <c r="C38" s="6">
        <v>1.62</v>
      </c>
      <c r="D38" s="6">
        <v>1</v>
      </c>
      <c r="E38" s="6">
        <v>2312</v>
      </c>
      <c r="F38" s="6">
        <v>0</v>
      </c>
      <c r="G38" s="6">
        <v>0</v>
      </c>
      <c r="H38" s="6">
        <v>3</v>
      </c>
      <c r="I38" s="6">
        <v>0</v>
      </c>
      <c r="J38" s="6">
        <v>-0.3</v>
      </c>
      <c r="K38" s="6">
        <v>-0.4</v>
      </c>
      <c r="L38" s="6">
        <v>41834</v>
      </c>
      <c r="M38" s="7" t="s">
        <v>749</v>
      </c>
    </row>
    <row r="39" spans="1:13">
      <c r="A39" s="11">
        <v>29</v>
      </c>
      <c r="B39" s="12" t="s">
        <v>242</v>
      </c>
      <c r="C39" s="12">
        <v>0.62</v>
      </c>
      <c r="D39" s="12">
        <v>0</v>
      </c>
      <c r="E39" s="12">
        <v>2312</v>
      </c>
      <c r="F39" s="12">
        <v>0</v>
      </c>
      <c r="G39" s="12">
        <v>0</v>
      </c>
      <c r="H39" s="12">
        <v>3</v>
      </c>
      <c r="I39" s="12">
        <v>0</v>
      </c>
      <c r="J39" s="12">
        <v>-0.2</v>
      </c>
      <c r="K39" s="12">
        <v>-0.5</v>
      </c>
      <c r="L39" s="12">
        <v>41834</v>
      </c>
      <c r="M39" s="13" t="s">
        <v>750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B5A9-E280-49A0-83AF-1D93C276DC51}">
  <dimension ref="A1:P39"/>
  <sheetViews>
    <sheetView zoomScale="85" zoomScaleNormal="85" workbookViewId="0">
      <selection activeCell="Q12" sqref="Q12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681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682</v>
      </c>
      <c r="C4" s="6" t="s">
        <v>13</v>
      </c>
      <c r="D4" s="6" t="s">
        <v>13</v>
      </c>
      <c r="E4" s="6" t="s">
        <v>19</v>
      </c>
      <c r="F4" s="6" t="s">
        <v>683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684</v>
      </c>
      <c r="C5" s="9" t="s">
        <v>13</v>
      </c>
      <c r="D5" s="9" t="s">
        <v>13</v>
      </c>
      <c r="E5" s="9" t="s">
        <v>22</v>
      </c>
      <c r="F5" s="9" t="s">
        <v>685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133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134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</row>
    <row r="11" spans="1:16">
      <c r="A11" s="8">
        <v>1</v>
      </c>
      <c r="B11" s="9" t="s">
        <v>133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31834</v>
      </c>
      <c r="M11" s="10" t="s">
        <v>686</v>
      </c>
      <c r="O11" s="22" t="s">
        <v>124</v>
      </c>
      <c r="P11">
        <v>10.62</v>
      </c>
    </row>
    <row r="12" spans="1:16">
      <c r="A12" s="5">
        <v>2</v>
      </c>
      <c r="B12" s="6" t="s">
        <v>133</v>
      </c>
      <c r="C12" s="6">
        <v>1</v>
      </c>
      <c r="D12" s="6">
        <v>1</v>
      </c>
      <c r="E12" s="6">
        <v>1</v>
      </c>
      <c r="F12" s="6">
        <v>1</v>
      </c>
      <c r="G12" s="6">
        <v>0</v>
      </c>
      <c r="H12" s="6">
        <v>2.8</v>
      </c>
      <c r="I12" s="6">
        <v>0</v>
      </c>
      <c r="J12" s="6">
        <v>-0.2</v>
      </c>
      <c r="K12" s="6">
        <v>-0.4</v>
      </c>
      <c r="L12" s="6">
        <v>31834</v>
      </c>
      <c r="M12" s="7" t="s">
        <v>686</v>
      </c>
      <c r="O12" s="23" t="s">
        <v>127</v>
      </c>
      <c r="P12">
        <f>SUM(F21:F27)</f>
        <v>2335</v>
      </c>
    </row>
    <row r="13" spans="1:16">
      <c r="A13" s="8">
        <v>3</v>
      </c>
      <c r="B13" s="9" t="s">
        <v>135</v>
      </c>
      <c r="C13" s="9">
        <v>2.02</v>
      </c>
      <c r="D13" s="9">
        <v>1</v>
      </c>
      <c r="E13" s="9">
        <v>1</v>
      </c>
      <c r="F13" s="9">
        <v>0</v>
      </c>
      <c r="G13" s="9">
        <v>0</v>
      </c>
      <c r="H13" s="9">
        <v>2.7</v>
      </c>
      <c r="I13" s="9">
        <v>0</v>
      </c>
      <c r="J13" s="9">
        <v>-0.2</v>
      </c>
      <c r="K13" s="9">
        <v>-0.4</v>
      </c>
      <c r="L13" s="9">
        <v>31834</v>
      </c>
      <c r="M13" s="10" t="s">
        <v>687</v>
      </c>
      <c r="O13" s="23" t="s">
        <v>125</v>
      </c>
      <c r="P13">
        <f>AVERAGE(H21:H25)</f>
        <v>0.4</v>
      </c>
    </row>
    <row r="14" spans="1:16">
      <c r="A14" s="5">
        <v>4</v>
      </c>
      <c r="B14" s="6" t="s">
        <v>135</v>
      </c>
      <c r="C14" s="6">
        <v>3.02</v>
      </c>
      <c r="D14" s="6">
        <v>0</v>
      </c>
      <c r="E14" s="6">
        <v>1</v>
      </c>
      <c r="F14" s="6">
        <v>0</v>
      </c>
      <c r="G14" s="6">
        <v>0</v>
      </c>
      <c r="H14" s="6">
        <v>2.7</v>
      </c>
      <c r="I14" s="6">
        <v>0</v>
      </c>
      <c r="J14" s="6">
        <v>-0.2</v>
      </c>
      <c r="K14" s="6">
        <v>-0.4</v>
      </c>
      <c r="L14" s="6">
        <v>31834</v>
      </c>
      <c r="M14" s="7" t="s">
        <v>688</v>
      </c>
      <c r="O14" s="23" t="s">
        <v>126</v>
      </c>
      <c r="P14">
        <f>AVERAGE(H26:H29)</f>
        <v>0.7</v>
      </c>
    </row>
    <row r="15" spans="1:16">
      <c r="A15" s="8">
        <v>5</v>
      </c>
      <c r="B15" s="9" t="s">
        <v>135</v>
      </c>
      <c r="C15" s="9">
        <v>4.04</v>
      </c>
      <c r="D15" s="9">
        <v>1</v>
      </c>
      <c r="E15" s="9">
        <v>1</v>
      </c>
      <c r="F15" s="9">
        <v>0</v>
      </c>
      <c r="G15" s="9">
        <v>0</v>
      </c>
      <c r="H15" s="9">
        <v>2.7</v>
      </c>
      <c r="I15" s="9">
        <v>0</v>
      </c>
      <c r="J15" s="9">
        <v>-0.3</v>
      </c>
      <c r="K15" s="9">
        <v>-0.4</v>
      </c>
      <c r="L15" s="9">
        <v>31834</v>
      </c>
      <c r="M15" s="10" t="s">
        <v>689</v>
      </c>
    </row>
    <row r="16" spans="1:16">
      <c r="A16" s="5">
        <v>6</v>
      </c>
      <c r="B16" s="6" t="s">
        <v>139</v>
      </c>
      <c r="C16" s="6">
        <v>5.0599999999999996</v>
      </c>
      <c r="D16" s="6">
        <v>1</v>
      </c>
      <c r="E16" s="6">
        <v>2</v>
      </c>
      <c r="F16" s="6">
        <v>1</v>
      </c>
      <c r="G16" s="6">
        <v>0</v>
      </c>
      <c r="H16" s="6">
        <v>2.7</v>
      </c>
      <c r="I16" s="6">
        <v>0</v>
      </c>
      <c r="J16" s="6">
        <v>-0.3</v>
      </c>
      <c r="K16" s="6">
        <v>-0.4</v>
      </c>
      <c r="L16" s="6">
        <v>31834</v>
      </c>
      <c r="M16" s="7" t="s">
        <v>690</v>
      </c>
    </row>
    <row r="17" spans="1:13">
      <c r="A17" s="8">
        <v>7</v>
      </c>
      <c r="B17" s="9" t="s">
        <v>139</v>
      </c>
      <c r="C17" s="9">
        <v>6.07</v>
      </c>
      <c r="D17" s="9">
        <v>1</v>
      </c>
      <c r="E17" s="9">
        <v>2</v>
      </c>
      <c r="F17" s="9">
        <v>0</v>
      </c>
      <c r="G17" s="9">
        <v>9.1</v>
      </c>
      <c r="H17" s="9">
        <v>2.7</v>
      </c>
      <c r="I17" s="9">
        <v>225</v>
      </c>
      <c r="J17" s="9">
        <v>-0.2</v>
      </c>
      <c r="K17" s="9">
        <v>-0.4</v>
      </c>
      <c r="L17" s="9">
        <v>31834</v>
      </c>
      <c r="M17" s="10" t="s">
        <v>691</v>
      </c>
    </row>
    <row r="18" spans="1:13">
      <c r="A18" s="5">
        <v>8</v>
      </c>
      <c r="B18" s="6" t="s">
        <v>145</v>
      </c>
      <c r="C18" s="6">
        <v>7.08</v>
      </c>
      <c r="D18" s="6">
        <v>1</v>
      </c>
      <c r="E18" s="6">
        <v>2</v>
      </c>
      <c r="F18" s="6">
        <v>0</v>
      </c>
      <c r="G18" s="6">
        <v>24</v>
      </c>
      <c r="H18" s="6">
        <v>2.6</v>
      </c>
      <c r="I18" s="6">
        <v>83</v>
      </c>
      <c r="J18" s="6">
        <v>-0.2</v>
      </c>
      <c r="K18" s="6">
        <v>-0.4</v>
      </c>
      <c r="L18" s="6">
        <v>31834</v>
      </c>
      <c r="M18" s="7" t="s">
        <v>692</v>
      </c>
    </row>
    <row r="19" spans="1:13">
      <c r="A19" s="8">
        <v>9</v>
      </c>
      <c r="B19" s="9" t="s">
        <v>145</v>
      </c>
      <c r="C19" s="9">
        <v>8.09</v>
      </c>
      <c r="D19" s="9">
        <v>1</v>
      </c>
      <c r="E19" s="9">
        <v>2</v>
      </c>
      <c r="F19" s="9">
        <v>0</v>
      </c>
      <c r="G19" s="9">
        <v>24</v>
      </c>
      <c r="H19" s="9">
        <v>2.4</v>
      </c>
      <c r="I19" s="9">
        <v>83</v>
      </c>
      <c r="J19" s="9">
        <v>-0.3</v>
      </c>
      <c r="K19" s="9">
        <v>-0.4</v>
      </c>
      <c r="L19" s="9">
        <v>31834</v>
      </c>
      <c r="M19" s="10" t="s">
        <v>693</v>
      </c>
    </row>
    <row r="20" spans="1:13">
      <c r="A20" s="5">
        <v>10</v>
      </c>
      <c r="B20" s="6" t="s">
        <v>145</v>
      </c>
      <c r="C20" s="6">
        <v>9.09</v>
      </c>
      <c r="D20" s="6">
        <v>1</v>
      </c>
      <c r="E20" s="6">
        <v>3</v>
      </c>
      <c r="F20" s="6">
        <v>1</v>
      </c>
      <c r="G20" s="6">
        <v>24</v>
      </c>
      <c r="H20" s="6">
        <v>2.5</v>
      </c>
      <c r="I20" s="6">
        <v>82</v>
      </c>
      <c r="J20" s="6">
        <v>-0.3</v>
      </c>
      <c r="K20" s="6">
        <v>-0.4</v>
      </c>
      <c r="L20" s="6">
        <v>31834</v>
      </c>
      <c r="M20" s="7" t="s">
        <v>694</v>
      </c>
    </row>
    <row r="21" spans="1:13">
      <c r="A21" s="8">
        <v>11</v>
      </c>
      <c r="B21" s="9" t="s">
        <v>695</v>
      </c>
      <c r="C21" s="9">
        <v>10.09</v>
      </c>
      <c r="D21" s="9">
        <v>1</v>
      </c>
      <c r="E21" s="9">
        <v>3</v>
      </c>
      <c r="F21" s="9">
        <v>0</v>
      </c>
      <c r="G21" s="9">
        <v>24</v>
      </c>
      <c r="H21" s="9">
        <v>0.4</v>
      </c>
      <c r="I21" s="9">
        <v>83</v>
      </c>
      <c r="J21" s="9">
        <v>-0.3</v>
      </c>
      <c r="K21" s="9">
        <v>-0.4</v>
      </c>
      <c r="L21" s="9">
        <v>31834</v>
      </c>
      <c r="M21" s="10" t="s">
        <v>696</v>
      </c>
    </row>
    <row r="22" spans="1:13">
      <c r="A22" s="5">
        <v>12</v>
      </c>
      <c r="B22" s="6" t="s">
        <v>697</v>
      </c>
      <c r="C22" s="6">
        <v>11.09</v>
      </c>
      <c r="D22" s="6">
        <v>308</v>
      </c>
      <c r="E22" s="6">
        <v>461</v>
      </c>
      <c r="F22" s="6">
        <v>458</v>
      </c>
      <c r="G22" s="6">
        <v>24</v>
      </c>
      <c r="H22" s="6">
        <v>0.4</v>
      </c>
      <c r="I22" s="6">
        <v>83</v>
      </c>
      <c r="J22" s="6">
        <v>-0.2</v>
      </c>
      <c r="K22" s="6">
        <v>-0.4</v>
      </c>
      <c r="L22" s="6">
        <v>31834</v>
      </c>
      <c r="M22" s="7" t="s">
        <v>698</v>
      </c>
    </row>
    <row r="23" spans="1:13">
      <c r="A23" s="8">
        <v>13</v>
      </c>
      <c r="B23" s="9" t="s">
        <v>699</v>
      </c>
      <c r="C23" s="9">
        <v>12.09</v>
      </c>
      <c r="D23" s="9">
        <v>303</v>
      </c>
      <c r="E23" s="9">
        <v>1184</v>
      </c>
      <c r="F23" s="9">
        <v>723</v>
      </c>
      <c r="G23" s="9">
        <v>24</v>
      </c>
      <c r="H23" s="9">
        <v>0.4</v>
      </c>
      <c r="I23" s="9">
        <v>85</v>
      </c>
      <c r="J23" s="9">
        <v>-0.3</v>
      </c>
      <c r="K23" s="9">
        <v>-0.4</v>
      </c>
      <c r="L23" s="9">
        <v>31834</v>
      </c>
      <c r="M23" s="10" t="s">
        <v>700</v>
      </c>
    </row>
    <row r="24" spans="1:13">
      <c r="A24" s="5">
        <v>14</v>
      </c>
      <c r="B24" s="6" t="s">
        <v>161</v>
      </c>
      <c r="C24" s="6">
        <v>13.09</v>
      </c>
      <c r="D24" s="6">
        <v>293</v>
      </c>
      <c r="E24" s="6">
        <v>1884</v>
      </c>
      <c r="F24" s="6">
        <v>700</v>
      </c>
      <c r="G24" s="6">
        <v>24</v>
      </c>
      <c r="H24" s="6">
        <v>0.4</v>
      </c>
      <c r="I24" s="6">
        <v>94</v>
      </c>
      <c r="J24" s="6">
        <v>-0.2</v>
      </c>
      <c r="K24" s="6">
        <v>-0.4</v>
      </c>
      <c r="L24" s="6">
        <v>31834</v>
      </c>
      <c r="M24" s="7" t="s">
        <v>701</v>
      </c>
    </row>
    <row r="25" spans="1:13">
      <c r="A25" s="8">
        <v>15</v>
      </c>
      <c r="B25" s="9" t="s">
        <v>168</v>
      </c>
      <c r="C25" s="9">
        <v>13.62</v>
      </c>
      <c r="D25" s="9">
        <v>296</v>
      </c>
      <c r="E25" s="9">
        <v>2283</v>
      </c>
      <c r="F25" s="9">
        <v>399</v>
      </c>
      <c r="G25" s="9">
        <v>24</v>
      </c>
      <c r="H25" s="9">
        <v>0.4</v>
      </c>
      <c r="I25" s="9">
        <v>98</v>
      </c>
      <c r="J25" s="9">
        <v>-0.2</v>
      </c>
      <c r="K25" s="9">
        <v>-0.5</v>
      </c>
      <c r="L25" s="9">
        <v>31834</v>
      </c>
      <c r="M25" s="10" t="s">
        <v>702</v>
      </c>
    </row>
    <row r="26" spans="1:13">
      <c r="A26" s="5">
        <v>16</v>
      </c>
      <c r="B26" s="6" t="s">
        <v>466</v>
      </c>
      <c r="C26" s="6">
        <v>13.63</v>
      </c>
      <c r="D26" s="6">
        <v>200</v>
      </c>
      <c r="E26" s="6">
        <v>2331</v>
      </c>
      <c r="F26" s="6">
        <v>48</v>
      </c>
      <c r="G26" s="6">
        <v>24</v>
      </c>
      <c r="H26" s="6">
        <v>0</v>
      </c>
      <c r="I26" s="6">
        <v>90</v>
      </c>
      <c r="J26" s="6">
        <v>-0.2</v>
      </c>
      <c r="K26" s="6">
        <v>-0.4</v>
      </c>
      <c r="L26" s="6">
        <v>31834</v>
      </c>
      <c r="M26" s="7" t="s">
        <v>703</v>
      </c>
    </row>
    <row r="27" spans="1:13">
      <c r="A27" s="8">
        <v>17</v>
      </c>
      <c r="B27" s="9" t="s">
        <v>172</v>
      </c>
      <c r="C27" s="9">
        <v>12.62</v>
      </c>
      <c r="D27" s="9">
        <v>1</v>
      </c>
      <c r="E27" s="9">
        <v>2338</v>
      </c>
      <c r="F27" s="9">
        <v>7</v>
      </c>
      <c r="G27" s="9">
        <v>24</v>
      </c>
      <c r="H27" s="9">
        <v>1</v>
      </c>
      <c r="I27" s="9">
        <v>86</v>
      </c>
      <c r="J27" s="9">
        <v>-0.3</v>
      </c>
      <c r="K27" s="9">
        <v>-0.4</v>
      </c>
      <c r="L27" s="9">
        <v>31834</v>
      </c>
      <c r="M27" s="10" t="s">
        <v>704</v>
      </c>
    </row>
    <row r="28" spans="1:13">
      <c r="A28" s="5">
        <v>18</v>
      </c>
      <c r="B28" s="6" t="s">
        <v>175</v>
      </c>
      <c r="C28" s="6">
        <v>11.62</v>
      </c>
      <c r="D28" s="6">
        <v>1</v>
      </c>
      <c r="E28" s="6">
        <v>2339</v>
      </c>
      <c r="F28" s="6">
        <v>1</v>
      </c>
      <c r="G28" s="6">
        <v>24</v>
      </c>
      <c r="H28" s="6">
        <v>0.9</v>
      </c>
      <c r="I28" s="6">
        <v>83</v>
      </c>
      <c r="J28" s="6">
        <v>-0.3</v>
      </c>
      <c r="K28" s="6">
        <v>-0.4</v>
      </c>
      <c r="L28" s="6">
        <v>31834</v>
      </c>
      <c r="M28" s="7" t="s">
        <v>705</v>
      </c>
    </row>
    <row r="29" spans="1:13">
      <c r="A29" s="8">
        <v>19</v>
      </c>
      <c r="B29" s="9" t="s">
        <v>178</v>
      </c>
      <c r="C29" s="9">
        <v>10.61</v>
      </c>
      <c r="D29" s="9">
        <v>1</v>
      </c>
      <c r="E29" s="9">
        <v>2340</v>
      </c>
      <c r="F29" s="9">
        <v>1</v>
      </c>
      <c r="G29" s="9">
        <v>24</v>
      </c>
      <c r="H29" s="9">
        <v>0.9</v>
      </c>
      <c r="I29" s="9">
        <v>83</v>
      </c>
      <c r="J29" s="9">
        <v>-0.3</v>
      </c>
      <c r="K29" s="9">
        <v>-0.4</v>
      </c>
      <c r="L29" s="9">
        <v>31834</v>
      </c>
      <c r="M29" s="10" t="s">
        <v>706</v>
      </c>
    </row>
    <row r="30" spans="1:13">
      <c r="A30" s="5">
        <v>20</v>
      </c>
      <c r="B30" s="6" t="s">
        <v>183</v>
      </c>
      <c r="C30" s="6">
        <v>9.6</v>
      </c>
      <c r="D30" s="6">
        <v>1</v>
      </c>
      <c r="E30" s="6">
        <v>2340</v>
      </c>
      <c r="F30" s="6">
        <v>0</v>
      </c>
      <c r="G30" s="6">
        <v>24</v>
      </c>
      <c r="H30" s="6">
        <v>2.7</v>
      </c>
      <c r="I30" s="6">
        <v>83</v>
      </c>
      <c r="J30" s="6">
        <v>-0.2</v>
      </c>
      <c r="K30" s="6">
        <v>-0.4</v>
      </c>
      <c r="L30" s="6">
        <v>31834</v>
      </c>
      <c r="M30" s="7" t="s">
        <v>707</v>
      </c>
    </row>
    <row r="31" spans="1:13">
      <c r="A31" s="8">
        <v>21</v>
      </c>
      <c r="B31" s="9" t="s">
        <v>183</v>
      </c>
      <c r="C31" s="9">
        <v>8.59</v>
      </c>
      <c r="D31" s="9">
        <v>1</v>
      </c>
      <c r="E31" s="9">
        <v>2341</v>
      </c>
      <c r="F31" s="9">
        <v>1</v>
      </c>
      <c r="G31" s="9">
        <v>0</v>
      </c>
      <c r="H31" s="9">
        <v>2.6</v>
      </c>
      <c r="I31" s="9">
        <v>0</v>
      </c>
      <c r="J31" s="9">
        <v>-0.3</v>
      </c>
      <c r="K31" s="9">
        <v>-0.4</v>
      </c>
      <c r="L31" s="9">
        <v>31834</v>
      </c>
      <c r="M31" s="10" t="s">
        <v>708</v>
      </c>
    </row>
    <row r="32" spans="1:13">
      <c r="A32" s="5">
        <v>22</v>
      </c>
      <c r="B32" s="6" t="s">
        <v>183</v>
      </c>
      <c r="C32" s="6">
        <v>7.58</v>
      </c>
      <c r="D32" s="6">
        <v>0</v>
      </c>
      <c r="E32" s="6">
        <v>2341</v>
      </c>
      <c r="F32" s="6">
        <v>0</v>
      </c>
      <c r="G32" s="6">
        <v>0</v>
      </c>
      <c r="H32" s="6">
        <v>2.7</v>
      </c>
      <c r="I32" s="6">
        <v>0</v>
      </c>
      <c r="J32" s="6">
        <v>-0.2</v>
      </c>
      <c r="K32" s="6">
        <v>-0.5</v>
      </c>
      <c r="L32" s="6">
        <v>31834</v>
      </c>
      <c r="M32" s="7" t="s">
        <v>709</v>
      </c>
    </row>
    <row r="33" spans="1:13">
      <c r="A33" s="8">
        <v>23</v>
      </c>
      <c r="B33" s="9" t="s">
        <v>187</v>
      </c>
      <c r="C33" s="9">
        <v>6.58</v>
      </c>
      <c r="D33" s="9">
        <v>1</v>
      </c>
      <c r="E33" s="9">
        <v>2341</v>
      </c>
      <c r="F33" s="9">
        <v>0</v>
      </c>
      <c r="G33" s="9">
        <v>0</v>
      </c>
      <c r="H33" s="9">
        <v>2.7</v>
      </c>
      <c r="I33" s="9">
        <v>0</v>
      </c>
      <c r="J33" s="9">
        <v>-0.3</v>
      </c>
      <c r="K33" s="9">
        <v>-0.4</v>
      </c>
      <c r="L33" s="9">
        <v>31834</v>
      </c>
      <c r="M33" s="10" t="s">
        <v>710</v>
      </c>
    </row>
    <row r="34" spans="1:13">
      <c r="A34" s="5">
        <v>24</v>
      </c>
      <c r="B34" s="6" t="s">
        <v>187</v>
      </c>
      <c r="C34" s="6">
        <v>5.58</v>
      </c>
      <c r="D34" s="6">
        <v>1</v>
      </c>
      <c r="E34" s="6">
        <v>2341</v>
      </c>
      <c r="F34" s="6">
        <v>0</v>
      </c>
      <c r="G34" s="6">
        <v>0</v>
      </c>
      <c r="H34" s="6">
        <v>2.8</v>
      </c>
      <c r="I34" s="6">
        <v>0</v>
      </c>
      <c r="J34" s="6">
        <v>-0.3</v>
      </c>
      <c r="K34" s="6">
        <v>-0.4</v>
      </c>
      <c r="L34" s="6">
        <v>31834</v>
      </c>
      <c r="M34" s="7" t="s">
        <v>711</v>
      </c>
    </row>
    <row r="35" spans="1:13">
      <c r="A35" s="8">
        <v>25</v>
      </c>
      <c r="B35" s="9" t="s">
        <v>187</v>
      </c>
      <c r="C35" s="9">
        <v>4.57</v>
      </c>
      <c r="D35" s="9">
        <v>1</v>
      </c>
      <c r="E35" s="9">
        <v>2342</v>
      </c>
      <c r="F35" s="9">
        <v>1</v>
      </c>
      <c r="G35" s="9">
        <v>0</v>
      </c>
      <c r="H35" s="9">
        <v>2.8</v>
      </c>
      <c r="I35" s="9">
        <v>0</v>
      </c>
      <c r="J35" s="9">
        <v>-0.3</v>
      </c>
      <c r="K35" s="9">
        <v>-0.4</v>
      </c>
      <c r="L35" s="9">
        <v>31834</v>
      </c>
      <c r="M35" s="10" t="s">
        <v>712</v>
      </c>
    </row>
    <row r="36" spans="1:13">
      <c r="A36" s="5">
        <v>26</v>
      </c>
      <c r="B36" s="6" t="s">
        <v>191</v>
      </c>
      <c r="C36" s="6">
        <v>3.56</v>
      </c>
      <c r="D36" s="6">
        <v>1</v>
      </c>
      <c r="E36" s="6">
        <v>2342</v>
      </c>
      <c r="F36" s="6">
        <v>0</v>
      </c>
      <c r="G36" s="6">
        <v>0</v>
      </c>
      <c r="H36" s="6">
        <v>2.8</v>
      </c>
      <c r="I36" s="6">
        <v>0</v>
      </c>
      <c r="J36" s="6">
        <v>-0.3</v>
      </c>
      <c r="K36" s="6">
        <v>-0.4</v>
      </c>
      <c r="L36" s="6">
        <v>31834</v>
      </c>
      <c r="M36" s="7" t="s">
        <v>713</v>
      </c>
    </row>
    <row r="37" spans="1:13">
      <c r="A37" s="8">
        <v>27</v>
      </c>
      <c r="B37" s="9" t="s">
        <v>191</v>
      </c>
      <c r="C37" s="9">
        <v>2.54</v>
      </c>
      <c r="D37" s="9">
        <v>1</v>
      </c>
      <c r="E37" s="9">
        <v>2342</v>
      </c>
      <c r="F37" s="9">
        <v>0</v>
      </c>
      <c r="G37" s="9">
        <v>0</v>
      </c>
      <c r="H37" s="9">
        <v>2.7</v>
      </c>
      <c r="I37" s="9">
        <v>0</v>
      </c>
      <c r="J37" s="9">
        <v>-0.3</v>
      </c>
      <c r="K37" s="9">
        <v>-0.4</v>
      </c>
      <c r="L37" s="9">
        <v>31834</v>
      </c>
      <c r="M37" s="10" t="s">
        <v>714</v>
      </c>
    </row>
    <row r="38" spans="1:13">
      <c r="A38" s="5">
        <v>28</v>
      </c>
      <c r="B38" s="6" t="s">
        <v>134</v>
      </c>
      <c r="C38" s="6">
        <v>1.53</v>
      </c>
      <c r="D38" s="6">
        <v>1</v>
      </c>
      <c r="E38" s="6">
        <v>2342</v>
      </c>
      <c r="F38" s="6">
        <v>0</v>
      </c>
      <c r="G38" s="6">
        <v>0</v>
      </c>
      <c r="H38" s="6">
        <v>2.8</v>
      </c>
      <c r="I38" s="6">
        <v>0</v>
      </c>
      <c r="J38" s="6">
        <v>-0.2</v>
      </c>
      <c r="K38" s="6">
        <v>-0.4</v>
      </c>
      <c r="L38" s="6">
        <v>31834</v>
      </c>
      <c r="M38" s="7" t="s">
        <v>715</v>
      </c>
    </row>
    <row r="39" spans="1:13">
      <c r="A39" s="11">
        <v>29</v>
      </c>
      <c r="B39" s="12" t="s">
        <v>134</v>
      </c>
      <c r="C39" s="12">
        <v>0.52</v>
      </c>
      <c r="D39" s="12">
        <v>1</v>
      </c>
      <c r="E39" s="12">
        <v>2343</v>
      </c>
      <c r="F39" s="12">
        <v>0</v>
      </c>
      <c r="G39" s="12">
        <v>0</v>
      </c>
      <c r="H39" s="12">
        <v>2.7</v>
      </c>
      <c r="I39" s="12">
        <v>0</v>
      </c>
      <c r="J39" s="12">
        <v>-0.2</v>
      </c>
      <c r="K39" s="12">
        <v>-0.4</v>
      </c>
      <c r="L39" s="12">
        <v>31834</v>
      </c>
      <c r="M39" s="13" t="s">
        <v>716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57E0-9C34-4BD2-979C-D4AF35C708B3}">
  <dimension ref="A1:P39"/>
  <sheetViews>
    <sheetView topLeftCell="B1" zoomScale="85" zoomScaleNormal="85" workbookViewId="0">
      <selection activeCell="P14" sqref="P14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643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483</v>
      </c>
      <c r="C4" s="6" t="s">
        <v>13</v>
      </c>
      <c r="D4" s="6" t="s">
        <v>13</v>
      </c>
      <c r="E4" s="6" t="s">
        <v>19</v>
      </c>
      <c r="F4" s="6" t="s">
        <v>483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644</v>
      </c>
      <c r="C5" s="9" t="s">
        <v>13</v>
      </c>
      <c r="D5" s="9" t="s">
        <v>13</v>
      </c>
      <c r="E5" s="9" t="s">
        <v>22</v>
      </c>
      <c r="F5" s="9" t="s">
        <v>645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66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646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O10" s="22" t="s">
        <v>124</v>
      </c>
      <c r="P10">
        <v>10.65</v>
      </c>
    </row>
    <row r="11" spans="1:16">
      <c r="A11" s="8">
        <v>1</v>
      </c>
      <c r="B11" s="9" t="s">
        <v>66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21834</v>
      </c>
      <c r="M11" s="10" t="s">
        <v>647</v>
      </c>
      <c r="O11" s="23" t="s">
        <v>127</v>
      </c>
      <c r="P11">
        <f>SUM(F21:F26)</f>
        <v>2397</v>
      </c>
    </row>
    <row r="12" spans="1:16">
      <c r="A12" s="5">
        <v>2</v>
      </c>
      <c r="B12" s="6" t="s">
        <v>66</v>
      </c>
      <c r="C12" s="6">
        <v>1</v>
      </c>
      <c r="D12" s="6">
        <v>0</v>
      </c>
      <c r="E12" s="6">
        <v>0</v>
      </c>
      <c r="F12" s="6">
        <v>0</v>
      </c>
      <c r="G12" s="6">
        <v>0</v>
      </c>
      <c r="H12" s="6">
        <v>2.7</v>
      </c>
      <c r="I12" s="6">
        <v>0</v>
      </c>
      <c r="J12" s="6">
        <v>-0.6</v>
      </c>
      <c r="K12" s="6">
        <v>-0.3</v>
      </c>
      <c r="L12" s="6">
        <v>21834</v>
      </c>
      <c r="M12" s="7" t="s">
        <v>647</v>
      </c>
      <c r="O12" s="23" t="s">
        <v>125</v>
      </c>
      <c r="P12">
        <f>AVERAGE(H21:H25)</f>
        <v>0.4</v>
      </c>
    </row>
    <row r="13" spans="1:16">
      <c r="A13" s="8">
        <v>3</v>
      </c>
      <c r="B13" s="9" t="s">
        <v>649</v>
      </c>
      <c r="C13" s="9">
        <v>2.0099999999999998</v>
      </c>
      <c r="D13" s="9">
        <v>1</v>
      </c>
      <c r="E13" s="9">
        <v>1</v>
      </c>
      <c r="F13" s="9">
        <v>1</v>
      </c>
      <c r="G13" s="9">
        <v>0</v>
      </c>
      <c r="H13" s="9">
        <v>2.7</v>
      </c>
      <c r="I13" s="9">
        <v>0</v>
      </c>
      <c r="J13" s="9">
        <v>-0.6</v>
      </c>
      <c r="K13" s="9">
        <v>-0.3</v>
      </c>
      <c r="L13" s="9">
        <v>21834</v>
      </c>
      <c r="M13" s="10" t="s">
        <v>650</v>
      </c>
      <c r="O13" s="23" t="s">
        <v>126</v>
      </c>
      <c r="P13">
        <f>AVERAGE(H26:H29)</f>
        <v>0.7</v>
      </c>
    </row>
    <row r="14" spans="1:16">
      <c r="A14" s="5">
        <v>4</v>
      </c>
      <c r="B14" s="6" t="s">
        <v>649</v>
      </c>
      <c r="C14" s="6">
        <v>3.03</v>
      </c>
      <c r="D14" s="6">
        <v>0</v>
      </c>
      <c r="E14" s="6">
        <v>1</v>
      </c>
      <c r="F14" s="6">
        <v>0</v>
      </c>
      <c r="G14" s="6">
        <v>0</v>
      </c>
      <c r="H14" s="6">
        <v>2.8</v>
      </c>
      <c r="I14" s="6">
        <v>0</v>
      </c>
      <c r="J14" s="6">
        <v>-0.5</v>
      </c>
      <c r="K14" s="6">
        <v>-0.2</v>
      </c>
      <c r="L14" s="6">
        <v>21834</v>
      </c>
      <c r="M14" s="7" t="s">
        <v>651</v>
      </c>
    </row>
    <row r="15" spans="1:16">
      <c r="A15" s="8">
        <v>5</v>
      </c>
      <c r="B15" s="9" t="s">
        <v>69</v>
      </c>
      <c r="C15" s="9">
        <v>4.04</v>
      </c>
      <c r="D15" s="9">
        <v>0</v>
      </c>
      <c r="E15" s="9">
        <v>1</v>
      </c>
      <c r="F15" s="9">
        <v>0</v>
      </c>
      <c r="G15" s="9">
        <v>0</v>
      </c>
      <c r="H15" s="9">
        <v>3.3</v>
      </c>
      <c r="I15" s="9">
        <v>0</v>
      </c>
      <c r="J15" s="9">
        <v>-0.6</v>
      </c>
      <c r="K15" s="9">
        <v>-0.2</v>
      </c>
      <c r="L15" s="9">
        <v>21834</v>
      </c>
      <c r="M15" s="10" t="s">
        <v>652</v>
      </c>
    </row>
    <row r="16" spans="1:16">
      <c r="A16" s="5">
        <v>6</v>
      </c>
      <c r="B16" s="6" t="s">
        <v>69</v>
      </c>
      <c r="C16" s="6">
        <v>5.07</v>
      </c>
      <c r="D16" s="6">
        <v>1</v>
      </c>
      <c r="E16" s="6">
        <v>1</v>
      </c>
      <c r="F16" s="6">
        <v>0</v>
      </c>
      <c r="G16" s="6">
        <v>0</v>
      </c>
      <c r="H16" s="6">
        <v>3.4</v>
      </c>
      <c r="I16" s="6">
        <v>0</v>
      </c>
      <c r="J16" s="6">
        <v>-0.6</v>
      </c>
      <c r="K16" s="6">
        <v>-0.3</v>
      </c>
      <c r="L16" s="6">
        <v>21834</v>
      </c>
      <c r="M16" s="7" t="s">
        <v>654</v>
      </c>
    </row>
    <row r="17" spans="1:13">
      <c r="A17" s="8">
        <v>7</v>
      </c>
      <c r="B17" s="9" t="s">
        <v>69</v>
      </c>
      <c r="C17" s="9">
        <v>6.08</v>
      </c>
      <c r="D17" s="9">
        <v>1</v>
      </c>
      <c r="E17" s="9">
        <v>1</v>
      </c>
      <c r="F17" s="9">
        <v>0</v>
      </c>
      <c r="G17" s="9">
        <v>12.2</v>
      </c>
      <c r="H17" s="9">
        <v>3.4</v>
      </c>
      <c r="I17" s="9">
        <v>155</v>
      </c>
      <c r="J17" s="9">
        <v>-0.6</v>
      </c>
      <c r="K17" s="9">
        <v>-0.3</v>
      </c>
      <c r="L17" s="9">
        <v>21834</v>
      </c>
      <c r="M17" s="10" t="s">
        <v>656</v>
      </c>
    </row>
    <row r="18" spans="1:13">
      <c r="A18" s="5">
        <v>8</v>
      </c>
      <c r="B18" s="6" t="s">
        <v>69</v>
      </c>
      <c r="C18" s="6">
        <v>7.1</v>
      </c>
      <c r="D18" s="6">
        <v>1</v>
      </c>
      <c r="E18" s="6">
        <v>2</v>
      </c>
      <c r="F18" s="6">
        <v>1</v>
      </c>
      <c r="G18" s="6">
        <v>24</v>
      </c>
      <c r="H18" s="6">
        <v>3.4</v>
      </c>
      <c r="I18" s="6">
        <v>83</v>
      </c>
      <c r="J18" s="6">
        <v>-0.6</v>
      </c>
      <c r="K18" s="6">
        <v>-0.3</v>
      </c>
      <c r="L18" s="6">
        <v>21834</v>
      </c>
      <c r="M18" s="7" t="s">
        <v>657</v>
      </c>
    </row>
    <row r="19" spans="1:13">
      <c r="A19" s="8">
        <v>9</v>
      </c>
      <c r="B19" s="9" t="s">
        <v>658</v>
      </c>
      <c r="C19" s="9">
        <v>8.1300000000000008</v>
      </c>
      <c r="D19" s="9">
        <v>1</v>
      </c>
      <c r="E19" s="9">
        <v>2</v>
      </c>
      <c r="F19" s="9">
        <v>0</v>
      </c>
      <c r="G19" s="9">
        <v>24</v>
      </c>
      <c r="H19" s="9">
        <v>3</v>
      </c>
      <c r="I19" s="9">
        <v>83</v>
      </c>
      <c r="J19" s="9">
        <v>-0.6</v>
      </c>
      <c r="K19" s="9">
        <v>-0.3</v>
      </c>
      <c r="L19" s="9">
        <v>21834</v>
      </c>
      <c r="M19" s="10" t="s">
        <v>659</v>
      </c>
    </row>
    <row r="20" spans="1:13">
      <c r="A20" s="5">
        <v>10</v>
      </c>
      <c r="B20" s="6" t="s">
        <v>658</v>
      </c>
      <c r="C20" s="6">
        <v>9.14</v>
      </c>
      <c r="D20" s="6">
        <v>0</v>
      </c>
      <c r="E20" s="6">
        <v>2</v>
      </c>
      <c r="F20" s="6">
        <v>0</v>
      </c>
      <c r="G20" s="6">
        <v>24</v>
      </c>
      <c r="H20" s="6">
        <v>3.2</v>
      </c>
      <c r="I20" s="6">
        <v>83</v>
      </c>
      <c r="J20" s="6">
        <v>-0.5</v>
      </c>
      <c r="K20" s="6">
        <v>-0.3</v>
      </c>
      <c r="L20" s="6">
        <v>21834</v>
      </c>
      <c r="M20" s="7" t="s">
        <v>660</v>
      </c>
    </row>
    <row r="21" spans="1:13">
      <c r="A21" s="8">
        <v>11</v>
      </c>
      <c r="B21" s="16" t="s">
        <v>661</v>
      </c>
      <c r="C21" s="16">
        <v>10.14</v>
      </c>
      <c r="D21" s="16">
        <v>0</v>
      </c>
      <c r="E21" s="16">
        <v>3</v>
      </c>
      <c r="F21" s="16">
        <v>1</v>
      </c>
      <c r="G21" s="16">
        <v>24</v>
      </c>
      <c r="H21" s="16">
        <v>0.4</v>
      </c>
      <c r="I21" s="16">
        <v>83</v>
      </c>
      <c r="J21" s="16">
        <v>-0.6</v>
      </c>
      <c r="K21" s="16">
        <v>-0.3</v>
      </c>
      <c r="L21" s="16">
        <v>21834</v>
      </c>
      <c r="M21" s="17" t="s">
        <v>662</v>
      </c>
    </row>
    <row r="22" spans="1:13">
      <c r="A22" s="5">
        <v>12</v>
      </c>
      <c r="B22" s="6" t="s">
        <v>76</v>
      </c>
      <c r="C22" s="6">
        <v>11.14</v>
      </c>
      <c r="D22" s="6">
        <v>301</v>
      </c>
      <c r="E22" s="6">
        <v>479</v>
      </c>
      <c r="F22" s="6">
        <v>476</v>
      </c>
      <c r="G22" s="6">
        <v>24</v>
      </c>
      <c r="H22" s="6">
        <v>0.4</v>
      </c>
      <c r="I22" s="6">
        <v>83</v>
      </c>
      <c r="J22" s="6">
        <v>-0.6</v>
      </c>
      <c r="K22" s="6">
        <v>-0.3</v>
      </c>
      <c r="L22" s="6">
        <v>21834</v>
      </c>
      <c r="M22" s="7" t="s">
        <v>663</v>
      </c>
    </row>
    <row r="23" spans="1:13">
      <c r="A23" s="8">
        <v>13</v>
      </c>
      <c r="B23" s="9" t="s">
        <v>80</v>
      </c>
      <c r="C23" s="9">
        <v>12.14</v>
      </c>
      <c r="D23" s="9">
        <v>311</v>
      </c>
      <c r="E23" s="9">
        <v>1207</v>
      </c>
      <c r="F23" s="9">
        <v>728</v>
      </c>
      <c r="G23" s="9">
        <v>24</v>
      </c>
      <c r="H23" s="9">
        <v>0.4</v>
      </c>
      <c r="I23" s="9">
        <v>88</v>
      </c>
      <c r="J23" s="9">
        <v>-0.6</v>
      </c>
      <c r="K23" s="9">
        <v>-0.3</v>
      </c>
      <c r="L23" s="9">
        <v>21834</v>
      </c>
      <c r="M23" s="10" t="s">
        <v>664</v>
      </c>
    </row>
    <row r="24" spans="1:13">
      <c r="A24" s="5">
        <v>14</v>
      </c>
      <c r="B24" s="6" t="s">
        <v>87</v>
      </c>
      <c r="C24" s="6">
        <v>13.14</v>
      </c>
      <c r="D24" s="6">
        <v>297</v>
      </c>
      <c r="E24" s="6">
        <v>1956</v>
      </c>
      <c r="F24" s="6">
        <v>749</v>
      </c>
      <c r="G24" s="6">
        <v>24</v>
      </c>
      <c r="H24" s="6">
        <v>0.4</v>
      </c>
      <c r="I24" s="6">
        <v>93</v>
      </c>
      <c r="J24" s="6">
        <v>-0.6</v>
      </c>
      <c r="K24" s="6">
        <v>-0.3</v>
      </c>
      <c r="L24" s="6">
        <v>21834</v>
      </c>
      <c r="M24" s="7" t="s">
        <v>665</v>
      </c>
    </row>
    <row r="25" spans="1:13">
      <c r="A25" s="8">
        <v>15</v>
      </c>
      <c r="B25" s="9" t="s">
        <v>91</v>
      </c>
      <c r="C25" s="9">
        <v>13.65</v>
      </c>
      <c r="D25" s="9">
        <v>301</v>
      </c>
      <c r="E25" s="9">
        <v>2355</v>
      </c>
      <c r="F25" s="9">
        <v>399</v>
      </c>
      <c r="G25" s="9">
        <v>24</v>
      </c>
      <c r="H25" s="9">
        <v>0.4</v>
      </c>
      <c r="I25" s="9">
        <v>97</v>
      </c>
      <c r="J25" s="9">
        <v>-0.6</v>
      </c>
      <c r="K25" s="9">
        <v>-0.3</v>
      </c>
      <c r="L25" s="9">
        <v>21834</v>
      </c>
      <c r="M25" s="10" t="s">
        <v>666</v>
      </c>
    </row>
    <row r="26" spans="1:13">
      <c r="A26" s="5">
        <v>16</v>
      </c>
      <c r="B26" s="6" t="s">
        <v>91</v>
      </c>
      <c r="C26" s="6">
        <v>13.65</v>
      </c>
      <c r="D26" s="6">
        <v>1</v>
      </c>
      <c r="E26" s="6">
        <v>2399</v>
      </c>
      <c r="F26" s="6">
        <v>44</v>
      </c>
      <c r="G26" s="6">
        <v>0</v>
      </c>
      <c r="H26" s="6">
        <v>0</v>
      </c>
      <c r="I26" s="6">
        <v>0</v>
      </c>
      <c r="J26" s="6">
        <v>-0.6</v>
      </c>
      <c r="K26" s="6">
        <v>-0.3</v>
      </c>
      <c r="L26" s="6">
        <v>21834</v>
      </c>
      <c r="M26" s="7" t="s">
        <v>667</v>
      </c>
    </row>
    <row r="27" spans="1:13">
      <c r="A27" s="8">
        <v>17</v>
      </c>
      <c r="B27" s="9" t="s">
        <v>99</v>
      </c>
      <c r="C27" s="9">
        <v>12.65</v>
      </c>
      <c r="D27" s="9">
        <v>1</v>
      </c>
      <c r="E27" s="9">
        <v>2400</v>
      </c>
      <c r="F27" s="9">
        <v>1</v>
      </c>
      <c r="G27" s="9">
        <v>24</v>
      </c>
      <c r="H27" s="9">
        <v>1</v>
      </c>
      <c r="I27" s="9">
        <v>86</v>
      </c>
      <c r="J27" s="9">
        <v>-0.6</v>
      </c>
      <c r="K27" s="9">
        <v>-0.4</v>
      </c>
      <c r="L27" s="9">
        <v>21834</v>
      </c>
      <c r="M27" s="10" t="s">
        <v>668</v>
      </c>
    </row>
    <row r="28" spans="1:13">
      <c r="A28" s="5">
        <v>18</v>
      </c>
      <c r="B28" s="6" t="s">
        <v>102</v>
      </c>
      <c r="C28" s="6">
        <v>11.65</v>
      </c>
      <c r="D28" s="6">
        <v>1</v>
      </c>
      <c r="E28" s="6">
        <v>2401</v>
      </c>
      <c r="F28" s="6">
        <v>1</v>
      </c>
      <c r="G28" s="6">
        <v>24</v>
      </c>
      <c r="H28" s="6">
        <v>0.9</v>
      </c>
      <c r="I28" s="6">
        <v>83</v>
      </c>
      <c r="J28" s="6">
        <v>-0.6</v>
      </c>
      <c r="K28" s="6">
        <v>-0.3</v>
      </c>
      <c r="L28" s="6">
        <v>21834</v>
      </c>
      <c r="M28" s="7" t="s">
        <v>669</v>
      </c>
    </row>
    <row r="29" spans="1:13">
      <c r="A29" s="8">
        <v>19</v>
      </c>
      <c r="B29" s="9" t="s">
        <v>107</v>
      </c>
      <c r="C29" s="9">
        <v>10.65</v>
      </c>
      <c r="D29" s="9">
        <v>1</v>
      </c>
      <c r="E29" s="9">
        <v>2402</v>
      </c>
      <c r="F29" s="9">
        <v>1</v>
      </c>
      <c r="G29" s="9">
        <v>24</v>
      </c>
      <c r="H29" s="9">
        <v>0.9</v>
      </c>
      <c r="I29" s="9">
        <v>83</v>
      </c>
      <c r="J29" s="9">
        <v>-0.6</v>
      </c>
      <c r="K29" s="9">
        <v>-0.3</v>
      </c>
      <c r="L29" s="9">
        <v>21834</v>
      </c>
      <c r="M29" s="10" t="s">
        <v>670</v>
      </c>
    </row>
    <row r="30" spans="1:13">
      <c r="A30" s="5">
        <v>20</v>
      </c>
      <c r="B30" s="6" t="s">
        <v>113</v>
      </c>
      <c r="C30" s="6">
        <v>9.65</v>
      </c>
      <c r="D30" s="6">
        <v>1</v>
      </c>
      <c r="E30" s="6">
        <v>2402</v>
      </c>
      <c r="F30" s="6">
        <v>0</v>
      </c>
      <c r="G30" s="6">
        <v>24</v>
      </c>
      <c r="H30" s="6">
        <v>2.6</v>
      </c>
      <c r="I30" s="6">
        <v>83</v>
      </c>
      <c r="J30" s="6">
        <v>-0.6</v>
      </c>
      <c r="K30" s="6">
        <v>-0.4</v>
      </c>
      <c r="L30" s="6">
        <v>21834</v>
      </c>
      <c r="M30" s="7" t="s">
        <v>671</v>
      </c>
    </row>
    <row r="31" spans="1:13">
      <c r="A31" s="8">
        <v>21</v>
      </c>
      <c r="B31" s="9" t="s">
        <v>113</v>
      </c>
      <c r="C31" s="9">
        <v>8.65</v>
      </c>
      <c r="D31" s="9">
        <v>1</v>
      </c>
      <c r="E31" s="9">
        <v>2402</v>
      </c>
      <c r="F31" s="9">
        <v>0</v>
      </c>
      <c r="G31" s="9">
        <v>24</v>
      </c>
      <c r="H31" s="9">
        <v>3.1</v>
      </c>
      <c r="I31" s="9">
        <v>83</v>
      </c>
      <c r="J31" s="9">
        <v>-0.6</v>
      </c>
      <c r="K31" s="9">
        <v>-0.4</v>
      </c>
      <c r="L31" s="9">
        <v>21834</v>
      </c>
      <c r="M31" s="10" t="s">
        <v>672</v>
      </c>
    </row>
    <row r="32" spans="1:13">
      <c r="A32" s="5">
        <v>22</v>
      </c>
      <c r="B32" s="6" t="s">
        <v>113</v>
      </c>
      <c r="C32" s="6">
        <v>7.65</v>
      </c>
      <c r="D32" s="6">
        <v>1</v>
      </c>
      <c r="E32" s="6">
        <v>2403</v>
      </c>
      <c r="F32" s="6">
        <v>1</v>
      </c>
      <c r="G32" s="6">
        <v>24</v>
      </c>
      <c r="H32" s="6">
        <v>3.2</v>
      </c>
      <c r="I32" s="6">
        <v>83</v>
      </c>
      <c r="J32" s="6">
        <v>-0.5</v>
      </c>
      <c r="K32" s="6">
        <v>-0.3</v>
      </c>
      <c r="L32" s="6">
        <v>21834</v>
      </c>
      <c r="M32" s="7" t="s">
        <v>673</v>
      </c>
    </row>
    <row r="33" spans="1:13">
      <c r="A33" s="8">
        <v>23</v>
      </c>
      <c r="B33" s="9" t="s">
        <v>117</v>
      </c>
      <c r="C33" s="9">
        <v>6.65</v>
      </c>
      <c r="D33" s="9">
        <v>1</v>
      </c>
      <c r="E33" s="9">
        <v>2403</v>
      </c>
      <c r="F33" s="9">
        <v>0</v>
      </c>
      <c r="G33" s="9">
        <v>0</v>
      </c>
      <c r="H33" s="9">
        <v>3.2</v>
      </c>
      <c r="I33" s="9">
        <v>0</v>
      </c>
      <c r="J33" s="9">
        <v>-0.6</v>
      </c>
      <c r="K33" s="9">
        <v>-0.3</v>
      </c>
      <c r="L33" s="9">
        <v>21834</v>
      </c>
      <c r="M33" s="10" t="s">
        <v>674</v>
      </c>
    </row>
    <row r="34" spans="1:13">
      <c r="A34" s="5">
        <v>24</v>
      </c>
      <c r="B34" s="6" t="s">
        <v>117</v>
      </c>
      <c r="C34" s="6">
        <v>5.64</v>
      </c>
      <c r="D34" s="6">
        <v>1</v>
      </c>
      <c r="E34" s="6">
        <v>2403</v>
      </c>
      <c r="F34" s="6">
        <v>0</v>
      </c>
      <c r="G34" s="6">
        <v>0</v>
      </c>
      <c r="H34" s="6">
        <v>3.2</v>
      </c>
      <c r="I34" s="6">
        <v>0</v>
      </c>
      <c r="J34" s="6">
        <v>-0.6</v>
      </c>
      <c r="K34" s="6">
        <v>-0.3</v>
      </c>
      <c r="L34" s="6">
        <v>21834</v>
      </c>
      <c r="M34" s="7" t="s">
        <v>675</v>
      </c>
    </row>
    <row r="35" spans="1:13">
      <c r="A35" s="8">
        <v>25</v>
      </c>
      <c r="B35" s="9" t="s">
        <v>117</v>
      </c>
      <c r="C35" s="9">
        <v>4.63</v>
      </c>
      <c r="D35" s="9">
        <v>0</v>
      </c>
      <c r="E35" s="9">
        <v>2403</v>
      </c>
      <c r="F35" s="9">
        <v>0</v>
      </c>
      <c r="G35" s="9">
        <v>0</v>
      </c>
      <c r="H35" s="9">
        <v>3.1</v>
      </c>
      <c r="I35" s="9">
        <v>0</v>
      </c>
      <c r="J35" s="9">
        <v>-0.6</v>
      </c>
      <c r="K35" s="9">
        <v>-0.3</v>
      </c>
      <c r="L35" s="9">
        <v>21834</v>
      </c>
      <c r="M35" s="10" t="s">
        <v>676</v>
      </c>
    </row>
    <row r="36" spans="1:13">
      <c r="A36" s="5">
        <v>26</v>
      </c>
      <c r="B36" s="6" t="s">
        <v>28</v>
      </c>
      <c r="C36" s="6">
        <v>3.62</v>
      </c>
      <c r="D36" s="6">
        <v>1</v>
      </c>
      <c r="E36" s="6">
        <v>2404</v>
      </c>
      <c r="F36" s="6">
        <v>1</v>
      </c>
      <c r="G36" s="6">
        <v>0</v>
      </c>
      <c r="H36" s="6">
        <v>3.2</v>
      </c>
      <c r="I36" s="6">
        <v>0</v>
      </c>
      <c r="J36" s="6">
        <v>-0.6</v>
      </c>
      <c r="K36" s="6">
        <v>-0.3</v>
      </c>
      <c r="L36" s="6">
        <v>21834</v>
      </c>
      <c r="M36" s="7" t="s">
        <v>677</v>
      </c>
    </row>
    <row r="37" spans="1:13">
      <c r="A37" s="8">
        <v>27</v>
      </c>
      <c r="B37" s="9" t="s">
        <v>28</v>
      </c>
      <c r="C37" s="9">
        <v>2.62</v>
      </c>
      <c r="D37" s="9">
        <v>0</v>
      </c>
      <c r="E37" s="9">
        <v>2404</v>
      </c>
      <c r="F37" s="9">
        <v>0</v>
      </c>
      <c r="G37" s="9">
        <v>0</v>
      </c>
      <c r="H37" s="9">
        <v>3.2</v>
      </c>
      <c r="I37" s="9">
        <v>0</v>
      </c>
      <c r="J37" s="9">
        <v>-0.6</v>
      </c>
      <c r="K37" s="9">
        <v>-0.3</v>
      </c>
      <c r="L37" s="9">
        <v>21834</v>
      </c>
      <c r="M37" s="10" t="s">
        <v>678</v>
      </c>
    </row>
    <row r="38" spans="1:13">
      <c r="A38" s="5">
        <v>28</v>
      </c>
      <c r="B38" s="6" t="s">
        <v>28</v>
      </c>
      <c r="C38" s="6">
        <v>1.61</v>
      </c>
      <c r="D38" s="6">
        <v>1</v>
      </c>
      <c r="E38" s="6">
        <v>2404</v>
      </c>
      <c r="F38" s="6">
        <v>0</v>
      </c>
      <c r="G38" s="6">
        <v>0</v>
      </c>
      <c r="H38" s="6">
        <v>3.2</v>
      </c>
      <c r="I38" s="6">
        <v>0</v>
      </c>
      <c r="J38" s="6">
        <v>-0.6</v>
      </c>
      <c r="K38" s="6">
        <v>-0.3</v>
      </c>
      <c r="L38" s="6">
        <v>21834</v>
      </c>
      <c r="M38" s="7" t="s">
        <v>679</v>
      </c>
    </row>
    <row r="39" spans="1:13">
      <c r="A39" s="11">
        <v>29</v>
      </c>
      <c r="B39" s="12" t="s">
        <v>646</v>
      </c>
      <c r="C39" s="12">
        <v>0.57999999999999996</v>
      </c>
      <c r="D39" s="12">
        <v>0</v>
      </c>
      <c r="E39" s="12">
        <v>2404</v>
      </c>
      <c r="F39" s="12">
        <v>0</v>
      </c>
      <c r="G39" s="12">
        <v>0</v>
      </c>
      <c r="H39" s="12">
        <v>3.3</v>
      </c>
      <c r="I39" s="12">
        <v>0</v>
      </c>
      <c r="J39" s="12">
        <v>-0.6</v>
      </c>
      <c r="K39" s="12">
        <v>-0.3</v>
      </c>
      <c r="L39" s="12">
        <v>21834</v>
      </c>
      <c r="M39" s="13" t="s">
        <v>680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E190-C3CC-4AA2-AC47-34560DB282ED}">
  <dimension ref="A1:P39"/>
  <sheetViews>
    <sheetView zoomScale="85" zoomScaleNormal="85" workbookViewId="0">
      <selection activeCell="Q10" sqref="Q10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600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601</v>
      </c>
      <c r="C4" s="6" t="s">
        <v>13</v>
      </c>
      <c r="D4" s="6" t="s">
        <v>13</v>
      </c>
      <c r="E4" s="6" t="s">
        <v>19</v>
      </c>
      <c r="F4" s="6" t="s">
        <v>602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603</v>
      </c>
      <c r="C5" s="9" t="s">
        <v>13</v>
      </c>
      <c r="D5" s="9" t="s">
        <v>13</v>
      </c>
      <c r="E5" s="9" t="s">
        <v>22</v>
      </c>
      <c r="F5" s="9" t="s">
        <v>604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407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349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O10" s="22" t="s">
        <v>124</v>
      </c>
      <c r="P10">
        <v>10.74</v>
      </c>
    </row>
    <row r="11" spans="1:16">
      <c r="A11" s="8">
        <v>1</v>
      </c>
      <c r="B11" s="9" t="s">
        <v>605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2618</v>
      </c>
      <c r="M11" s="10" t="s">
        <v>606</v>
      </c>
      <c r="O11" s="23" t="s">
        <v>127</v>
      </c>
      <c r="P11">
        <f>SUM(F21:F26)</f>
        <v>2124</v>
      </c>
    </row>
    <row r="12" spans="1:16">
      <c r="A12" s="5">
        <v>2</v>
      </c>
      <c r="B12" s="6" t="s">
        <v>605</v>
      </c>
      <c r="C12" s="6">
        <v>1.01</v>
      </c>
      <c r="D12" s="6">
        <v>1</v>
      </c>
      <c r="E12" s="6">
        <v>239</v>
      </c>
      <c r="F12" s="6">
        <v>239</v>
      </c>
      <c r="G12" s="6">
        <v>0</v>
      </c>
      <c r="H12" s="6">
        <v>2.2999999999999998</v>
      </c>
      <c r="I12" s="6">
        <v>0</v>
      </c>
      <c r="J12" s="6">
        <v>-0.4</v>
      </c>
      <c r="K12" s="6">
        <v>-0.1</v>
      </c>
      <c r="L12" s="6">
        <v>2618</v>
      </c>
      <c r="M12" s="7" t="s">
        <v>606</v>
      </c>
      <c r="O12" s="23" t="s">
        <v>125</v>
      </c>
      <c r="P12">
        <f>AVERAGE(H21:H25)</f>
        <v>0.4</v>
      </c>
    </row>
    <row r="13" spans="1:16">
      <c r="A13" s="8">
        <v>3</v>
      </c>
      <c r="B13" s="9" t="s">
        <v>605</v>
      </c>
      <c r="C13" s="9">
        <v>2.0299999999999998</v>
      </c>
      <c r="D13" s="9">
        <v>1</v>
      </c>
      <c r="E13" s="9">
        <v>240</v>
      </c>
      <c r="F13" s="9">
        <v>1</v>
      </c>
      <c r="G13" s="9">
        <v>0</v>
      </c>
      <c r="H13" s="9">
        <v>2.4</v>
      </c>
      <c r="I13" s="9">
        <v>0</v>
      </c>
      <c r="J13" s="9">
        <v>-0.4</v>
      </c>
      <c r="K13" s="9">
        <v>-0.1</v>
      </c>
      <c r="L13" s="9">
        <v>2618</v>
      </c>
      <c r="M13" s="10" t="s">
        <v>607</v>
      </c>
      <c r="O13" s="23" t="s">
        <v>126</v>
      </c>
      <c r="P13">
        <f>AVERAGE(H26:H29)</f>
        <v>0.8</v>
      </c>
    </row>
    <row r="14" spans="1:16">
      <c r="A14" s="5">
        <v>4</v>
      </c>
      <c r="B14" s="6" t="s">
        <v>608</v>
      </c>
      <c r="C14" s="6">
        <v>3.04</v>
      </c>
      <c r="D14" s="6">
        <v>1</v>
      </c>
      <c r="E14" s="6">
        <v>240</v>
      </c>
      <c r="F14" s="6">
        <v>0</v>
      </c>
      <c r="G14" s="6">
        <v>0</v>
      </c>
      <c r="H14" s="6">
        <v>2.4</v>
      </c>
      <c r="I14" s="6">
        <v>0</v>
      </c>
      <c r="J14" s="6">
        <v>-0.4</v>
      </c>
      <c r="K14" s="6">
        <v>0</v>
      </c>
      <c r="L14" s="6">
        <v>2618</v>
      </c>
      <c r="M14" s="7" t="s">
        <v>609</v>
      </c>
    </row>
    <row r="15" spans="1:16">
      <c r="A15" s="8">
        <v>5</v>
      </c>
      <c r="B15" s="9" t="s">
        <v>608</v>
      </c>
      <c r="C15" s="9">
        <v>4.04</v>
      </c>
      <c r="D15" s="9">
        <v>1</v>
      </c>
      <c r="E15" s="9">
        <v>240</v>
      </c>
      <c r="F15" s="9">
        <v>0</v>
      </c>
      <c r="G15" s="9">
        <v>0</v>
      </c>
      <c r="H15" s="9">
        <v>2.2999999999999998</v>
      </c>
      <c r="I15" s="9">
        <v>0</v>
      </c>
      <c r="J15" s="9">
        <v>-0.3</v>
      </c>
      <c r="K15" s="9">
        <v>-0.1</v>
      </c>
      <c r="L15" s="9">
        <v>2618</v>
      </c>
      <c r="M15" s="10" t="s">
        <v>610</v>
      </c>
    </row>
    <row r="16" spans="1:16">
      <c r="A16" s="5">
        <v>6</v>
      </c>
      <c r="B16" s="6" t="s">
        <v>608</v>
      </c>
      <c r="C16" s="6">
        <v>5.04</v>
      </c>
      <c r="D16" s="6">
        <v>1</v>
      </c>
      <c r="E16" s="6">
        <v>241</v>
      </c>
      <c r="F16" s="6">
        <v>1</v>
      </c>
      <c r="G16" s="6">
        <v>0</v>
      </c>
      <c r="H16" s="6">
        <v>2.2999999999999998</v>
      </c>
      <c r="I16" s="6">
        <v>0</v>
      </c>
      <c r="J16" s="6">
        <v>-0.4</v>
      </c>
      <c r="K16" s="6">
        <v>-0.1</v>
      </c>
      <c r="L16" s="6">
        <v>2618</v>
      </c>
      <c r="M16" s="7" t="s">
        <v>611</v>
      </c>
    </row>
    <row r="17" spans="1:13">
      <c r="A17" s="8">
        <v>7</v>
      </c>
      <c r="B17" s="9" t="s">
        <v>416</v>
      </c>
      <c r="C17" s="9">
        <v>6.05</v>
      </c>
      <c r="D17" s="9">
        <v>1</v>
      </c>
      <c r="E17" s="9">
        <v>241</v>
      </c>
      <c r="F17" s="9">
        <v>0</v>
      </c>
      <c r="G17" s="9">
        <v>0</v>
      </c>
      <c r="H17" s="9">
        <v>2.4</v>
      </c>
      <c r="I17" s="9">
        <v>0</v>
      </c>
      <c r="J17" s="9">
        <v>-0.4</v>
      </c>
      <c r="K17" s="9">
        <v>0</v>
      </c>
      <c r="L17" s="9">
        <v>2618</v>
      </c>
      <c r="M17" s="10" t="s">
        <v>612</v>
      </c>
    </row>
    <row r="18" spans="1:13">
      <c r="A18" s="5">
        <v>8</v>
      </c>
      <c r="B18" s="6" t="s">
        <v>416</v>
      </c>
      <c r="C18" s="6">
        <v>7.05</v>
      </c>
      <c r="D18" s="6">
        <v>1</v>
      </c>
      <c r="E18" s="6">
        <v>242</v>
      </c>
      <c r="F18" s="6">
        <v>1</v>
      </c>
      <c r="G18" s="6">
        <v>0</v>
      </c>
      <c r="H18" s="6">
        <v>2.4</v>
      </c>
      <c r="I18" s="6">
        <v>0</v>
      </c>
      <c r="J18" s="6">
        <v>-0.4</v>
      </c>
      <c r="K18" s="6">
        <v>-0.1</v>
      </c>
      <c r="L18" s="6">
        <v>2618</v>
      </c>
      <c r="M18" s="7" t="s">
        <v>613</v>
      </c>
    </row>
    <row r="19" spans="1:13">
      <c r="A19" s="8">
        <v>9</v>
      </c>
      <c r="B19" s="9" t="s">
        <v>614</v>
      </c>
      <c r="C19" s="9">
        <v>8.0500000000000007</v>
      </c>
      <c r="D19" s="9">
        <v>1</v>
      </c>
      <c r="E19" s="9">
        <v>242</v>
      </c>
      <c r="F19" s="9">
        <v>0</v>
      </c>
      <c r="G19" s="9">
        <v>24</v>
      </c>
      <c r="H19" s="9">
        <v>1.2</v>
      </c>
      <c r="I19" s="9">
        <v>84</v>
      </c>
      <c r="J19" s="9">
        <v>-0.3</v>
      </c>
      <c r="K19" s="9">
        <v>-0.1</v>
      </c>
      <c r="L19" s="9">
        <v>2618</v>
      </c>
      <c r="M19" s="10" t="s">
        <v>615</v>
      </c>
    </row>
    <row r="20" spans="1:13">
      <c r="A20" s="5">
        <v>10</v>
      </c>
      <c r="B20" s="6" t="s">
        <v>418</v>
      </c>
      <c r="C20" s="6">
        <v>9.0500000000000007</v>
      </c>
      <c r="D20" s="6">
        <v>1</v>
      </c>
      <c r="E20" s="6">
        <v>245</v>
      </c>
      <c r="F20" s="6">
        <v>3</v>
      </c>
      <c r="G20" s="6">
        <v>24</v>
      </c>
      <c r="H20" s="6">
        <v>0.4</v>
      </c>
      <c r="I20" s="6">
        <v>84</v>
      </c>
      <c r="J20" s="6">
        <v>-0.4</v>
      </c>
      <c r="K20" s="6">
        <v>-0.1</v>
      </c>
      <c r="L20" s="6">
        <v>2618</v>
      </c>
      <c r="M20" s="7" t="s">
        <v>616</v>
      </c>
    </row>
    <row r="21" spans="1:13">
      <c r="A21" s="15">
        <v>11</v>
      </c>
      <c r="B21" s="16" t="s">
        <v>617</v>
      </c>
      <c r="C21" s="16">
        <v>10.050000000000001</v>
      </c>
      <c r="D21" s="16">
        <v>0</v>
      </c>
      <c r="E21" s="16">
        <v>247</v>
      </c>
      <c r="F21" s="16">
        <v>2</v>
      </c>
      <c r="G21" s="16">
        <v>24</v>
      </c>
      <c r="H21" s="16">
        <v>0.4</v>
      </c>
      <c r="I21" s="16">
        <v>85</v>
      </c>
      <c r="J21" s="16">
        <v>-0.4</v>
      </c>
      <c r="K21" s="16">
        <v>0</v>
      </c>
      <c r="L21" s="16">
        <v>2618</v>
      </c>
      <c r="M21" s="17" t="s">
        <v>618</v>
      </c>
    </row>
    <row r="22" spans="1:13">
      <c r="A22" s="5">
        <v>12</v>
      </c>
      <c r="B22" s="6" t="s">
        <v>424</v>
      </c>
      <c r="C22" s="6">
        <v>11.05</v>
      </c>
      <c r="D22" s="6">
        <v>292</v>
      </c>
      <c r="E22" s="6">
        <v>489</v>
      </c>
      <c r="F22" s="6">
        <v>242</v>
      </c>
      <c r="G22" s="6">
        <v>24</v>
      </c>
      <c r="H22" s="6">
        <v>0.4</v>
      </c>
      <c r="I22" s="6">
        <v>87</v>
      </c>
      <c r="J22" s="6">
        <v>-0.3</v>
      </c>
      <c r="K22" s="6">
        <v>0.1</v>
      </c>
      <c r="L22" s="6">
        <v>2618</v>
      </c>
      <c r="M22" s="7" t="s">
        <v>619</v>
      </c>
    </row>
    <row r="23" spans="1:13">
      <c r="A23" s="8">
        <v>13</v>
      </c>
      <c r="B23" s="9" t="s">
        <v>428</v>
      </c>
      <c r="C23" s="9">
        <v>12.05</v>
      </c>
      <c r="D23" s="9">
        <v>291</v>
      </c>
      <c r="E23" s="9">
        <v>1176</v>
      </c>
      <c r="F23" s="9">
        <v>687</v>
      </c>
      <c r="G23" s="9">
        <v>24</v>
      </c>
      <c r="H23" s="9">
        <v>0.4</v>
      </c>
      <c r="I23" s="9">
        <v>91</v>
      </c>
      <c r="J23" s="9">
        <v>-0.4</v>
      </c>
      <c r="K23" s="9">
        <v>0</v>
      </c>
      <c r="L23" s="9">
        <v>2618</v>
      </c>
      <c r="M23" s="10" t="s">
        <v>620</v>
      </c>
    </row>
    <row r="24" spans="1:13">
      <c r="A24" s="5">
        <v>14</v>
      </c>
      <c r="B24" s="6" t="s">
        <v>430</v>
      </c>
      <c r="C24" s="6">
        <v>13.05</v>
      </c>
      <c r="D24" s="6">
        <v>288</v>
      </c>
      <c r="E24" s="6">
        <v>1853</v>
      </c>
      <c r="F24" s="6">
        <v>677</v>
      </c>
      <c r="G24" s="6">
        <v>24</v>
      </c>
      <c r="H24" s="6">
        <v>0.4</v>
      </c>
      <c r="I24" s="6">
        <v>96</v>
      </c>
      <c r="J24" s="6">
        <v>-0.4</v>
      </c>
      <c r="K24" s="6">
        <v>0</v>
      </c>
      <c r="L24" s="6">
        <v>2618</v>
      </c>
      <c r="M24" s="7" t="s">
        <v>621</v>
      </c>
    </row>
    <row r="25" spans="1:13">
      <c r="A25" s="8">
        <v>15</v>
      </c>
      <c r="B25" s="9" t="s">
        <v>438</v>
      </c>
      <c r="C25" s="9">
        <v>13.74</v>
      </c>
      <c r="D25" s="9">
        <v>286</v>
      </c>
      <c r="E25" s="9">
        <v>2331</v>
      </c>
      <c r="F25" s="9">
        <v>478</v>
      </c>
      <c r="G25" s="9">
        <v>24</v>
      </c>
      <c r="H25" s="9">
        <v>0.4</v>
      </c>
      <c r="I25" s="9">
        <v>103</v>
      </c>
      <c r="J25" s="9">
        <v>-0.4</v>
      </c>
      <c r="K25" s="9">
        <v>0.1</v>
      </c>
      <c r="L25" s="9">
        <v>2618</v>
      </c>
      <c r="M25" s="10" t="s">
        <v>622</v>
      </c>
    </row>
    <row r="26" spans="1:13">
      <c r="A26" s="5">
        <v>16</v>
      </c>
      <c r="B26" s="6" t="s">
        <v>400</v>
      </c>
      <c r="C26" s="6">
        <v>13.42</v>
      </c>
      <c r="D26" s="6">
        <v>1</v>
      </c>
      <c r="E26" s="6">
        <v>2369</v>
      </c>
      <c r="F26" s="6">
        <v>38</v>
      </c>
      <c r="G26" s="6">
        <v>24</v>
      </c>
      <c r="H26" s="6">
        <v>0.2</v>
      </c>
      <c r="I26" s="6">
        <v>104</v>
      </c>
      <c r="J26" s="6">
        <v>-0.4</v>
      </c>
      <c r="K26" s="6">
        <v>0.1</v>
      </c>
      <c r="L26" s="6">
        <v>2618</v>
      </c>
      <c r="M26" s="7" t="s">
        <v>623</v>
      </c>
    </row>
    <row r="27" spans="1:13">
      <c r="A27" s="8">
        <v>17</v>
      </c>
      <c r="B27" s="9" t="s">
        <v>624</v>
      </c>
      <c r="C27" s="9">
        <v>12.74</v>
      </c>
      <c r="D27" s="9">
        <v>1</v>
      </c>
      <c r="E27" s="9">
        <v>2369</v>
      </c>
      <c r="F27" s="9">
        <v>0</v>
      </c>
      <c r="G27" s="9">
        <v>24</v>
      </c>
      <c r="H27" s="9">
        <v>1</v>
      </c>
      <c r="I27" s="9">
        <v>99</v>
      </c>
      <c r="J27" s="9">
        <v>-0.4</v>
      </c>
      <c r="K27" s="9">
        <v>0</v>
      </c>
      <c r="L27" s="9">
        <v>2618</v>
      </c>
      <c r="M27" s="10" t="s">
        <v>625</v>
      </c>
    </row>
    <row r="28" spans="1:13">
      <c r="A28" s="5">
        <v>18</v>
      </c>
      <c r="B28" s="6" t="s">
        <v>626</v>
      </c>
      <c r="C28" s="6">
        <v>11.74</v>
      </c>
      <c r="D28" s="6">
        <v>1</v>
      </c>
      <c r="E28" s="6">
        <v>2370</v>
      </c>
      <c r="F28" s="6">
        <v>1</v>
      </c>
      <c r="G28" s="6">
        <v>24</v>
      </c>
      <c r="H28" s="6">
        <v>1</v>
      </c>
      <c r="I28" s="6">
        <v>89</v>
      </c>
      <c r="J28" s="6">
        <v>-0.4</v>
      </c>
      <c r="K28" s="6">
        <v>0</v>
      </c>
      <c r="L28" s="6">
        <v>2618</v>
      </c>
      <c r="M28" s="7" t="s">
        <v>627</v>
      </c>
    </row>
    <row r="29" spans="1:13">
      <c r="A29" s="8">
        <v>19</v>
      </c>
      <c r="B29" s="9" t="s">
        <v>628</v>
      </c>
      <c r="C29" s="9">
        <v>10.74</v>
      </c>
      <c r="D29" s="9">
        <v>1</v>
      </c>
      <c r="E29" s="9">
        <v>2371</v>
      </c>
      <c r="F29" s="9">
        <v>1</v>
      </c>
      <c r="G29" s="9">
        <v>24</v>
      </c>
      <c r="H29" s="9">
        <v>1</v>
      </c>
      <c r="I29" s="9">
        <v>85</v>
      </c>
      <c r="J29" s="9">
        <v>-0.3</v>
      </c>
      <c r="K29" s="9">
        <v>0</v>
      </c>
      <c r="L29" s="9">
        <v>2618</v>
      </c>
      <c r="M29" s="10" t="s">
        <v>629</v>
      </c>
    </row>
    <row r="30" spans="1:13">
      <c r="A30" s="5">
        <v>20</v>
      </c>
      <c r="B30" s="6" t="s">
        <v>628</v>
      </c>
      <c r="C30" s="6">
        <v>9.74</v>
      </c>
      <c r="D30" s="6">
        <v>1</v>
      </c>
      <c r="E30" s="6">
        <v>2372</v>
      </c>
      <c r="F30" s="6">
        <v>1</v>
      </c>
      <c r="G30" s="6">
        <v>24</v>
      </c>
      <c r="H30" s="6">
        <v>1.6</v>
      </c>
      <c r="I30" s="6">
        <v>85</v>
      </c>
      <c r="J30" s="6">
        <v>-0.5</v>
      </c>
      <c r="K30" s="6">
        <v>0.1</v>
      </c>
      <c r="L30" s="6">
        <v>2618</v>
      </c>
      <c r="M30" s="7" t="s">
        <v>630</v>
      </c>
    </row>
    <row r="31" spans="1:13">
      <c r="A31" s="8">
        <v>21</v>
      </c>
      <c r="B31" s="9" t="s">
        <v>631</v>
      </c>
      <c r="C31" s="9">
        <v>8.74</v>
      </c>
      <c r="D31" s="9">
        <v>1</v>
      </c>
      <c r="E31" s="9">
        <v>2373</v>
      </c>
      <c r="F31" s="9">
        <v>1</v>
      </c>
      <c r="G31" s="9">
        <v>0</v>
      </c>
      <c r="H31" s="9">
        <v>2.7</v>
      </c>
      <c r="I31" s="9">
        <v>0</v>
      </c>
      <c r="J31" s="9">
        <v>-0.4</v>
      </c>
      <c r="K31" s="9">
        <v>0.1</v>
      </c>
      <c r="L31" s="9">
        <v>2618</v>
      </c>
      <c r="M31" s="10" t="s">
        <v>632</v>
      </c>
    </row>
    <row r="32" spans="1:13">
      <c r="A32" s="5">
        <v>22</v>
      </c>
      <c r="B32" s="6" t="s">
        <v>631</v>
      </c>
      <c r="C32" s="6">
        <v>7.74</v>
      </c>
      <c r="D32" s="6">
        <v>1</v>
      </c>
      <c r="E32" s="6">
        <v>2373</v>
      </c>
      <c r="F32" s="6">
        <v>0</v>
      </c>
      <c r="G32" s="6">
        <v>0</v>
      </c>
      <c r="H32" s="6">
        <v>2.8</v>
      </c>
      <c r="I32" s="6">
        <v>0</v>
      </c>
      <c r="J32" s="6">
        <v>-0.4</v>
      </c>
      <c r="K32" s="6">
        <v>0.2</v>
      </c>
      <c r="L32" s="6">
        <v>2618</v>
      </c>
      <c r="M32" s="7" t="s">
        <v>633</v>
      </c>
    </row>
    <row r="33" spans="1:13">
      <c r="A33" s="8">
        <v>23</v>
      </c>
      <c r="B33" s="9" t="s">
        <v>634</v>
      </c>
      <c r="C33" s="9">
        <v>6.73</v>
      </c>
      <c r="D33" s="9">
        <v>1</v>
      </c>
      <c r="E33" s="9">
        <v>2373</v>
      </c>
      <c r="F33" s="9">
        <v>0</v>
      </c>
      <c r="G33" s="9">
        <v>0</v>
      </c>
      <c r="H33" s="9">
        <v>2.8</v>
      </c>
      <c r="I33" s="9">
        <v>0</v>
      </c>
      <c r="J33" s="9">
        <v>-0.4</v>
      </c>
      <c r="K33" s="9">
        <v>0.2</v>
      </c>
      <c r="L33" s="9">
        <v>2618</v>
      </c>
      <c r="M33" s="10" t="s">
        <v>635</v>
      </c>
    </row>
    <row r="34" spans="1:13">
      <c r="A34" s="5">
        <v>24</v>
      </c>
      <c r="B34" s="6" t="s">
        <v>634</v>
      </c>
      <c r="C34" s="6">
        <v>5.73</v>
      </c>
      <c r="D34" s="6">
        <v>1</v>
      </c>
      <c r="E34" s="6">
        <v>2374</v>
      </c>
      <c r="F34" s="6">
        <v>1</v>
      </c>
      <c r="G34" s="6">
        <v>0</v>
      </c>
      <c r="H34" s="6">
        <v>3.3</v>
      </c>
      <c r="I34" s="6">
        <v>0</v>
      </c>
      <c r="J34" s="6">
        <v>-0.4</v>
      </c>
      <c r="K34" s="6">
        <v>0.1</v>
      </c>
      <c r="L34" s="6">
        <v>2618</v>
      </c>
      <c r="M34" s="7" t="s">
        <v>636</v>
      </c>
    </row>
    <row r="35" spans="1:13">
      <c r="A35" s="8">
        <v>25</v>
      </c>
      <c r="B35" s="9" t="s">
        <v>634</v>
      </c>
      <c r="C35" s="9">
        <v>4.7</v>
      </c>
      <c r="D35" s="9">
        <v>1</v>
      </c>
      <c r="E35" s="9">
        <v>2374</v>
      </c>
      <c r="F35" s="9">
        <v>0</v>
      </c>
      <c r="G35" s="9">
        <v>0</v>
      </c>
      <c r="H35" s="9">
        <v>3.3</v>
      </c>
      <c r="I35" s="9">
        <v>0</v>
      </c>
      <c r="J35" s="9">
        <v>-0.4</v>
      </c>
      <c r="K35" s="9">
        <v>0.1</v>
      </c>
      <c r="L35" s="9">
        <v>2618</v>
      </c>
      <c r="M35" s="10" t="s">
        <v>637</v>
      </c>
    </row>
    <row r="36" spans="1:13">
      <c r="A36" s="5">
        <v>26</v>
      </c>
      <c r="B36" s="6" t="s">
        <v>634</v>
      </c>
      <c r="C36" s="6">
        <v>3.7</v>
      </c>
      <c r="D36" s="6">
        <v>1</v>
      </c>
      <c r="E36" s="6">
        <v>2374</v>
      </c>
      <c r="F36" s="6">
        <v>0</v>
      </c>
      <c r="G36" s="6">
        <v>0</v>
      </c>
      <c r="H36" s="6">
        <v>3.3</v>
      </c>
      <c r="I36" s="6">
        <v>0</v>
      </c>
      <c r="J36" s="6">
        <v>-0.3</v>
      </c>
      <c r="K36" s="6">
        <v>0.1</v>
      </c>
      <c r="L36" s="6">
        <v>2618</v>
      </c>
      <c r="M36" s="7" t="s">
        <v>638</v>
      </c>
    </row>
    <row r="37" spans="1:13">
      <c r="A37" s="8">
        <v>27</v>
      </c>
      <c r="B37" s="9" t="s">
        <v>639</v>
      </c>
      <c r="C37" s="9">
        <v>2.68</v>
      </c>
      <c r="D37" s="9">
        <v>1</v>
      </c>
      <c r="E37" s="9">
        <v>2375</v>
      </c>
      <c r="F37" s="9">
        <v>1</v>
      </c>
      <c r="G37" s="9">
        <v>0</v>
      </c>
      <c r="H37" s="9">
        <v>3.3</v>
      </c>
      <c r="I37" s="9">
        <v>0</v>
      </c>
      <c r="J37" s="9">
        <v>-0.4</v>
      </c>
      <c r="K37" s="9">
        <v>0.1</v>
      </c>
      <c r="L37" s="9">
        <v>2618</v>
      </c>
      <c r="M37" s="10" t="s">
        <v>640</v>
      </c>
    </row>
    <row r="38" spans="1:13">
      <c r="A38" s="5">
        <v>28</v>
      </c>
      <c r="B38" s="6" t="s">
        <v>639</v>
      </c>
      <c r="C38" s="6">
        <v>1.67</v>
      </c>
      <c r="D38" s="6">
        <v>1</v>
      </c>
      <c r="E38" s="6">
        <v>2375</v>
      </c>
      <c r="F38" s="6">
        <v>0</v>
      </c>
      <c r="G38" s="6">
        <v>1.2</v>
      </c>
      <c r="H38" s="6">
        <v>2.8</v>
      </c>
      <c r="I38" s="6">
        <v>253</v>
      </c>
      <c r="J38" s="6">
        <v>-0.3</v>
      </c>
      <c r="K38" s="6">
        <v>0.2</v>
      </c>
      <c r="L38" s="6">
        <v>2618</v>
      </c>
      <c r="M38" s="7" t="s">
        <v>641</v>
      </c>
    </row>
    <row r="39" spans="1:13">
      <c r="A39" s="11">
        <v>29</v>
      </c>
      <c r="B39" s="12" t="s">
        <v>349</v>
      </c>
      <c r="C39" s="12">
        <v>0.67</v>
      </c>
      <c r="D39" s="12">
        <v>1</v>
      </c>
      <c r="E39" s="12">
        <v>2375</v>
      </c>
      <c r="F39" s="12">
        <v>0</v>
      </c>
      <c r="G39" s="12">
        <v>0</v>
      </c>
      <c r="H39" s="12">
        <v>2.7</v>
      </c>
      <c r="I39" s="12">
        <v>0</v>
      </c>
      <c r="J39" s="12">
        <v>-0.4</v>
      </c>
      <c r="K39" s="12">
        <v>0.1</v>
      </c>
      <c r="L39" s="12">
        <v>2618</v>
      </c>
      <c r="M39" s="13" t="s">
        <v>642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DA78-FA4A-4FC9-8DA7-6919C1EE5CFD}">
  <dimension ref="A1:P39"/>
  <sheetViews>
    <sheetView topLeftCell="B1" zoomScale="85" zoomScaleNormal="85" workbookViewId="0">
      <selection activeCell="P14" sqref="P14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560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129</v>
      </c>
      <c r="C4" s="6" t="s">
        <v>13</v>
      </c>
      <c r="D4" s="6" t="s">
        <v>13</v>
      </c>
      <c r="E4" s="6" t="s">
        <v>19</v>
      </c>
      <c r="F4" s="6" t="s">
        <v>129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561</v>
      </c>
      <c r="C5" s="9" t="s">
        <v>13</v>
      </c>
      <c r="D5" s="9" t="s">
        <v>13</v>
      </c>
      <c r="E5" s="9" t="s">
        <v>22</v>
      </c>
      <c r="F5" s="9" t="s">
        <v>562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563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564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O10" s="22" t="s">
        <v>124</v>
      </c>
      <c r="P10">
        <v>10.66</v>
      </c>
    </row>
    <row r="11" spans="1:16">
      <c r="A11" s="8">
        <v>1</v>
      </c>
      <c r="B11" s="9" t="s">
        <v>369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2518</v>
      </c>
      <c r="M11" s="10" t="s">
        <v>565</v>
      </c>
      <c r="O11" s="23" t="s">
        <v>127</v>
      </c>
      <c r="P11">
        <f>SUM(F21:F27)</f>
        <v>2489</v>
      </c>
    </row>
    <row r="12" spans="1:16">
      <c r="A12" s="5">
        <v>2</v>
      </c>
      <c r="B12" s="6" t="s">
        <v>369</v>
      </c>
      <c r="C12" s="6">
        <v>1.01</v>
      </c>
      <c r="D12" s="6">
        <v>1</v>
      </c>
      <c r="E12" s="6">
        <v>1</v>
      </c>
      <c r="F12" s="6">
        <v>1</v>
      </c>
      <c r="G12" s="6">
        <v>0</v>
      </c>
      <c r="H12" s="6">
        <v>2.5</v>
      </c>
      <c r="I12" s="6">
        <v>0</v>
      </c>
      <c r="J12" s="6">
        <v>-0.3</v>
      </c>
      <c r="K12" s="6">
        <v>0</v>
      </c>
      <c r="L12" s="6">
        <v>2518</v>
      </c>
      <c r="M12" s="7" t="s">
        <v>565</v>
      </c>
      <c r="O12" s="23" t="s">
        <v>125</v>
      </c>
      <c r="P12">
        <f>AVERAGE(H21:H25)</f>
        <v>0.38</v>
      </c>
    </row>
    <row r="13" spans="1:16">
      <c r="A13" s="8">
        <v>3</v>
      </c>
      <c r="B13" s="9" t="s">
        <v>371</v>
      </c>
      <c r="C13" s="9">
        <v>2.0299999999999998</v>
      </c>
      <c r="D13" s="9">
        <v>1</v>
      </c>
      <c r="E13" s="9">
        <v>1</v>
      </c>
      <c r="F13" s="9">
        <v>0</v>
      </c>
      <c r="G13" s="9">
        <v>0</v>
      </c>
      <c r="H13" s="9">
        <v>2.6</v>
      </c>
      <c r="I13" s="9">
        <v>0</v>
      </c>
      <c r="J13" s="9">
        <v>-0.4</v>
      </c>
      <c r="K13" s="9">
        <v>-0.1</v>
      </c>
      <c r="L13" s="9">
        <v>2518</v>
      </c>
      <c r="M13" s="10" t="s">
        <v>566</v>
      </c>
      <c r="O13" s="23" t="s">
        <v>126</v>
      </c>
      <c r="P13">
        <f>AVERAGE(H26:H29)</f>
        <v>0.7</v>
      </c>
    </row>
    <row r="14" spans="1:16">
      <c r="A14" s="5">
        <v>4</v>
      </c>
      <c r="B14" s="6" t="s">
        <v>371</v>
      </c>
      <c r="C14" s="6">
        <v>3.05</v>
      </c>
      <c r="D14" s="6">
        <v>1</v>
      </c>
      <c r="E14" s="6">
        <v>2</v>
      </c>
      <c r="F14" s="6">
        <v>1</v>
      </c>
      <c r="G14" s="6">
        <v>0</v>
      </c>
      <c r="H14" s="6">
        <v>2.4</v>
      </c>
      <c r="I14" s="6">
        <v>0</v>
      </c>
      <c r="J14" s="6">
        <v>-0.3</v>
      </c>
      <c r="K14" s="6">
        <v>0</v>
      </c>
      <c r="L14" s="6">
        <v>2518</v>
      </c>
      <c r="M14" s="7" t="s">
        <v>567</v>
      </c>
    </row>
    <row r="15" spans="1:16">
      <c r="A15" s="8">
        <v>5</v>
      </c>
      <c r="B15" s="9" t="s">
        <v>371</v>
      </c>
      <c r="C15" s="9">
        <v>4.05</v>
      </c>
      <c r="D15" s="9">
        <v>0</v>
      </c>
      <c r="E15" s="9">
        <v>2</v>
      </c>
      <c r="F15" s="9">
        <v>0</v>
      </c>
      <c r="G15" s="9">
        <v>0</v>
      </c>
      <c r="H15" s="9">
        <v>2.5</v>
      </c>
      <c r="I15" s="9">
        <v>0</v>
      </c>
      <c r="J15" s="9">
        <v>-0.3</v>
      </c>
      <c r="K15" s="9">
        <v>0.1</v>
      </c>
      <c r="L15" s="9">
        <v>2518</v>
      </c>
      <c r="M15" s="10" t="s">
        <v>568</v>
      </c>
    </row>
    <row r="16" spans="1:16">
      <c r="A16" s="5">
        <v>6</v>
      </c>
      <c r="B16" s="6" t="s">
        <v>373</v>
      </c>
      <c r="C16" s="6">
        <v>5.0599999999999996</v>
      </c>
      <c r="D16" s="6">
        <v>1</v>
      </c>
      <c r="E16" s="6">
        <v>2</v>
      </c>
      <c r="F16" s="6">
        <v>0</v>
      </c>
      <c r="G16" s="6">
        <v>0</v>
      </c>
      <c r="H16" s="6">
        <v>2.4</v>
      </c>
      <c r="I16" s="6">
        <v>0</v>
      </c>
      <c r="J16" s="6">
        <v>-0.3</v>
      </c>
      <c r="K16" s="6">
        <v>0</v>
      </c>
      <c r="L16" s="6">
        <v>2518</v>
      </c>
      <c r="M16" s="7" t="s">
        <v>569</v>
      </c>
    </row>
    <row r="17" spans="1:13">
      <c r="A17" s="8">
        <v>7</v>
      </c>
      <c r="B17" s="9" t="s">
        <v>373</v>
      </c>
      <c r="C17" s="9">
        <v>6.07</v>
      </c>
      <c r="D17" s="9">
        <v>1</v>
      </c>
      <c r="E17" s="9">
        <v>3</v>
      </c>
      <c r="F17" s="9">
        <v>1</v>
      </c>
      <c r="G17" s="9">
        <v>0</v>
      </c>
      <c r="H17" s="9">
        <v>2.4</v>
      </c>
      <c r="I17" s="9">
        <v>0</v>
      </c>
      <c r="J17" s="9">
        <v>-0.3</v>
      </c>
      <c r="K17" s="9">
        <v>0</v>
      </c>
      <c r="L17" s="9">
        <v>2518</v>
      </c>
      <c r="M17" s="10" t="s">
        <v>570</v>
      </c>
    </row>
    <row r="18" spans="1:13">
      <c r="A18" s="5">
        <v>8</v>
      </c>
      <c r="B18" s="6" t="s">
        <v>571</v>
      </c>
      <c r="C18" s="6">
        <v>7.07</v>
      </c>
      <c r="D18" s="6">
        <v>1</v>
      </c>
      <c r="E18" s="6">
        <v>3</v>
      </c>
      <c r="F18" s="6">
        <v>0</v>
      </c>
      <c r="G18" s="6">
        <v>1.7</v>
      </c>
      <c r="H18" s="6">
        <v>2.4</v>
      </c>
      <c r="I18" s="6">
        <v>219</v>
      </c>
      <c r="J18" s="6">
        <v>-0.4</v>
      </c>
      <c r="K18" s="6">
        <v>0</v>
      </c>
      <c r="L18" s="6">
        <v>2518</v>
      </c>
      <c r="M18" s="7" t="s">
        <v>572</v>
      </c>
    </row>
    <row r="19" spans="1:13">
      <c r="A19" s="8">
        <v>9</v>
      </c>
      <c r="B19" s="9" t="s">
        <v>571</v>
      </c>
      <c r="C19" s="9">
        <v>8.07</v>
      </c>
      <c r="D19" s="9">
        <v>1</v>
      </c>
      <c r="E19" s="9">
        <v>3</v>
      </c>
      <c r="F19" s="9">
        <v>0</v>
      </c>
      <c r="G19" s="9">
        <v>24</v>
      </c>
      <c r="H19" s="9">
        <v>2</v>
      </c>
      <c r="I19" s="9">
        <v>85</v>
      </c>
      <c r="J19" s="9">
        <v>-0.4</v>
      </c>
      <c r="K19" s="9">
        <v>0</v>
      </c>
      <c r="L19" s="9">
        <v>2518</v>
      </c>
      <c r="M19" s="10" t="s">
        <v>573</v>
      </c>
    </row>
    <row r="20" spans="1:13">
      <c r="A20" s="5">
        <v>10</v>
      </c>
      <c r="B20" s="6" t="s">
        <v>378</v>
      </c>
      <c r="C20" s="6">
        <v>9.07</v>
      </c>
      <c r="D20" s="6">
        <v>1</v>
      </c>
      <c r="E20" s="6">
        <v>5</v>
      </c>
      <c r="F20" s="6">
        <v>2</v>
      </c>
      <c r="G20" s="6">
        <v>24</v>
      </c>
      <c r="H20" s="6">
        <v>0.4</v>
      </c>
      <c r="I20" s="6">
        <v>85</v>
      </c>
      <c r="J20" s="6">
        <v>-0.4</v>
      </c>
      <c r="K20" s="6">
        <v>0</v>
      </c>
      <c r="L20" s="6">
        <v>2518</v>
      </c>
      <c r="M20" s="7" t="s">
        <v>574</v>
      </c>
    </row>
    <row r="21" spans="1:13">
      <c r="A21" s="15">
        <v>11</v>
      </c>
      <c r="B21" s="16" t="s">
        <v>385</v>
      </c>
      <c r="C21" s="16">
        <v>10.07</v>
      </c>
      <c r="D21" s="16">
        <v>1</v>
      </c>
      <c r="E21" s="16">
        <v>7</v>
      </c>
      <c r="F21" s="16">
        <v>2</v>
      </c>
      <c r="G21" s="16">
        <v>24</v>
      </c>
      <c r="H21" s="16">
        <v>0.4</v>
      </c>
      <c r="I21" s="16">
        <v>85</v>
      </c>
      <c r="J21" s="16">
        <v>-0.3</v>
      </c>
      <c r="K21" s="16">
        <v>-0.1</v>
      </c>
      <c r="L21" s="16">
        <v>2518</v>
      </c>
      <c r="M21" s="17" t="s">
        <v>575</v>
      </c>
    </row>
    <row r="22" spans="1:13">
      <c r="A22" s="5">
        <v>12</v>
      </c>
      <c r="B22" s="6" t="s">
        <v>350</v>
      </c>
      <c r="C22" s="6">
        <v>11.07</v>
      </c>
      <c r="D22" s="6">
        <v>294</v>
      </c>
      <c r="E22" s="6">
        <v>385</v>
      </c>
      <c r="F22" s="6">
        <v>378</v>
      </c>
      <c r="G22" s="6">
        <v>24</v>
      </c>
      <c r="H22" s="6">
        <v>0.4</v>
      </c>
      <c r="I22" s="6">
        <v>87</v>
      </c>
      <c r="J22" s="6">
        <v>-0.4</v>
      </c>
      <c r="K22" s="6">
        <v>0.1</v>
      </c>
      <c r="L22" s="6">
        <v>2518</v>
      </c>
      <c r="M22" s="7" t="s">
        <v>576</v>
      </c>
    </row>
    <row r="23" spans="1:13">
      <c r="A23" s="8">
        <v>13</v>
      </c>
      <c r="B23" s="9" t="s">
        <v>577</v>
      </c>
      <c r="C23" s="9">
        <v>12.07</v>
      </c>
      <c r="D23" s="9">
        <v>287</v>
      </c>
      <c r="E23" s="9">
        <v>1168</v>
      </c>
      <c r="F23" s="9">
        <v>783</v>
      </c>
      <c r="G23" s="9">
        <v>24</v>
      </c>
      <c r="H23" s="9">
        <v>0.4</v>
      </c>
      <c r="I23" s="9">
        <v>89</v>
      </c>
      <c r="J23" s="9">
        <v>-0.4</v>
      </c>
      <c r="K23" s="9">
        <v>-0.1</v>
      </c>
      <c r="L23" s="9">
        <v>2518</v>
      </c>
      <c r="M23" s="10" t="s">
        <v>578</v>
      </c>
    </row>
    <row r="24" spans="1:13">
      <c r="A24" s="5">
        <v>14</v>
      </c>
      <c r="B24" s="6" t="s">
        <v>579</v>
      </c>
      <c r="C24" s="6">
        <v>13.07</v>
      </c>
      <c r="D24" s="6">
        <v>286</v>
      </c>
      <c r="E24" s="6">
        <v>1958</v>
      </c>
      <c r="F24" s="6">
        <v>790</v>
      </c>
      <c r="G24" s="6">
        <v>24</v>
      </c>
      <c r="H24" s="6">
        <v>0.4</v>
      </c>
      <c r="I24" s="6">
        <v>94</v>
      </c>
      <c r="J24" s="6">
        <v>-0.4</v>
      </c>
      <c r="K24" s="6">
        <v>0</v>
      </c>
      <c r="L24" s="6">
        <v>2518</v>
      </c>
      <c r="M24" s="7" t="s">
        <v>580</v>
      </c>
    </row>
    <row r="25" spans="1:13">
      <c r="A25" s="8">
        <v>15</v>
      </c>
      <c r="B25" s="9" t="s">
        <v>301</v>
      </c>
      <c r="C25" s="9">
        <v>13.66</v>
      </c>
      <c r="D25" s="9">
        <v>285</v>
      </c>
      <c r="E25" s="9">
        <v>2451</v>
      </c>
      <c r="F25" s="9">
        <v>493</v>
      </c>
      <c r="G25" s="9">
        <v>24</v>
      </c>
      <c r="H25" s="9">
        <v>0.3</v>
      </c>
      <c r="I25" s="9">
        <v>98</v>
      </c>
      <c r="J25" s="9">
        <v>-0.4</v>
      </c>
      <c r="K25" s="9">
        <v>0</v>
      </c>
      <c r="L25" s="9">
        <v>2518</v>
      </c>
      <c r="M25" s="10" t="s">
        <v>581</v>
      </c>
    </row>
    <row r="26" spans="1:13">
      <c r="A26" s="5">
        <v>16</v>
      </c>
      <c r="B26" s="6" t="s">
        <v>301</v>
      </c>
      <c r="C26" s="6">
        <v>13.66</v>
      </c>
      <c r="D26" s="6">
        <v>90</v>
      </c>
      <c r="E26" s="6">
        <v>2491</v>
      </c>
      <c r="F26" s="6">
        <v>40</v>
      </c>
      <c r="G26" s="6">
        <v>24</v>
      </c>
      <c r="H26" s="6">
        <v>0</v>
      </c>
      <c r="I26" s="6">
        <v>93</v>
      </c>
      <c r="J26" s="6">
        <v>-0.3</v>
      </c>
      <c r="K26" s="6">
        <v>0</v>
      </c>
      <c r="L26" s="6">
        <v>2518</v>
      </c>
      <c r="M26" s="7" t="s">
        <v>582</v>
      </c>
    </row>
    <row r="27" spans="1:13">
      <c r="A27" s="8">
        <v>17</v>
      </c>
      <c r="B27" s="9" t="s">
        <v>307</v>
      </c>
      <c r="C27" s="9">
        <v>12.66</v>
      </c>
      <c r="D27" s="9">
        <v>1</v>
      </c>
      <c r="E27" s="9">
        <v>2494</v>
      </c>
      <c r="F27" s="9">
        <v>3</v>
      </c>
      <c r="G27" s="9">
        <v>24</v>
      </c>
      <c r="H27" s="9">
        <v>1</v>
      </c>
      <c r="I27" s="9">
        <v>95</v>
      </c>
      <c r="J27" s="9">
        <v>-0.5</v>
      </c>
      <c r="K27" s="9">
        <v>-0.1</v>
      </c>
      <c r="L27" s="9">
        <v>2518</v>
      </c>
      <c r="M27" s="10" t="s">
        <v>584</v>
      </c>
    </row>
    <row r="28" spans="1:13">
      <c r="A28" s="5">
        <v>18</v>
      </c>
      <c r="B28" s="6" t="s">
        <v>312</v>
      </c>
      <c r="C28" s="6">
        <v>11.66</v>
      </c>
      <c r="D28" s="6">
        <v>1</v>
      </c>
      <c r="E28" s="6">
        <v>2495</v>
      </c>
      <c r="F28" s="6">
        <v>1</v>
      </c>
      <c r="G28" s="6">
        <v>24</v>
      </c>
      <c r="H28" s="6">
        <v>0.9</v>
      </c>
      <c r="I28" s="6">
        <v>89</v>
      </c>
      <c r="J28" s="6">
        <v>-0.3</v>
      </c>
      <c r="K28" s="6">
        <v>0</v>
      </c>
      <c r="L28" s="6">
        <v>2518</v>
      </c>
      <c r="M28" s="7" t="s">
        <v>585</v>
      </c>
    </row>
    <row r="29" spans="1:13">
      <c r="A29" s="8">
        <v>19</v>
      </c>
      <c r="B29" s="9" t="s">
        <v>586</v>
      </c>
      <c r="C29" s="9">
        <v>10.66</v>
      </c>
      <c r="D29" s="9">
        <v>1</v>
      </c>
      <c r="E29" s="9">
        <v>2496</v>
      </c>
      <c r="F29" s="9">
        <v>1</v>
      </c>
      <c r="G29" s="9">
        <v>24</v>
      </c>
      <c r="H29" s="9">
        <v>0.9</v>
      </c>
      <c r="I29" s="9">
        <v>85</v>
      </c>
      <c r="J29" s="9">
        <v>-0.3</v>
      </c>
      <c r="K29" s="9">
        <v>0</v>
      </c>
      <c r="L29" s="9">
        <v>2518</v>
      </c>
      <c r="M29" s="10" t="s">
        <v>587</v>
      </c>
    </row>
    <row r="30" spans="1:13">
      <c r="A30" s="5">
        <v>20</v>
      </c>
      <c r="B30" s="6" t="s">
        <v>316</v>
      </c>
      <c r="C30" s="6">
        <v>9.66</v>
      </c>
      <c r="D30" s="6">
        <v>1</v>
      </c>
      <c r="E30" s="6">
        <v>2497</v>
      </c>
      <c r="F30" s="6">
        <v>1</v>
      </c>
      <c r="G30" s="6">
        <v>24</v>
      </c>
      <c r="H30" s="6">
        <v>2.5</v>
      </c>
      <c r="I30" s="6">
        <v>85</v>
      </c>
      <c r="J30" s="6">
        <v>-0.4</v>
      </c>
      <c r="K30" s="6">
        <v>-0.1</v>
      </c>
      <c r="L30" s="6">
        <v>2518</v>
      </c>
      <c r="M30" s="7" t="s">
        <v>588</v>
      </c>
    </row>
    <row r="31" spans="1:13">
      <c r="A31" s="8">
        <v>21</v>
      </c>
      <c r="B31" s="9" t="s">
        <v>589</v>
      </c>
      <c r="C31" s="9">
        <v>8.65</v>
      </c>
      <c r="D31" s="9">
        <v>1</v>
      </c>
      <c r="E31" s="9">
        <v>2498</v>
      </c>
      <c r="F31" s="9">
        <v>1</v>
      </c>
      <c r="G31" s="9">
        <v>0</v>
      </c>
      <c r="H31" s="9">
        <v>2.4</v>
      </c>
      <c r="I31" s="9">
        <v>0</v>
      </c>
      <c r="J31" s="9">
        <v>-0.3</v>
      </c>
      <c r="K31" s="9">
        <v>0</v>
      </c>
      <c r="L31" s="9">
        <v>2518</v>
      </c>
      <c r="M31" s="10" t="s">
        <v>590</v>
      </c>
    </row>
    <row r="32" spans="1:13">
      <c r="A32" s="5">
        <v>22</v>
      </c>
      <c r="B32" s="6" t="s">
        <v>589</v>
      </c>
      <c r="C32" s="6">
        <v>7.64</v>
      </c>
      <c r="D32" s="6">
        <v>1</v>
      </c>
      <c r="E32" s="6">
        <v>2498</v>
      </c>
      <c r="F32" s="6">
        <v>0</v>
      </c>
      <c r="G32" s="6">
        <v>0</v>
      </c>
      <c r="H32" s="6">
        <v>2.5</v>
      </c>
      <c r="I32" s="6">
        <v>0</v>
      </c>
      <c r="J32" s="6">
        <v>-0.3</v>
      </c>
      <c r="K32" s="6">
        <v>0</v>
      </c>
      <c r="L32" s="6">
        <v>2518</v>
      </c>
      <c r="M32" s="7" t="s">
        <v>591</v>
      </c>
    </row>
    <row r="33" spans="1:13">
      <c r="A33" s="8">
        <v>23</v>
      </c>
      <c r="B33" s="9" t="s">
        <v>589</v>
      </c>
      <c r="C33" s="9">
        <v>6.63</v>
      </c>
      <c r="D33" s="9">
        <v>1</v>
      </c>
      <c r="E33" s="9">
        <v>2498</v>
      </c>
      <c r="F33" s="9">
        <v>0</v>
      </c>
      <c r="G33" s="9">
        <v>0</v>
      </c>
      <c r="H33" s="9">
        <v>2.5</v>
      </c>
      <c r="I33" s="9">
        <v>0</v>
      </c>
      <c r="J33" s="9">
        <v>-0.4</v>
      </c>
      <c r="K33" s="9">
        <v>0</v>
      </c>
      <c r="L33" s="9">
        <v>2518</v>
      </c>
      <c r="M33" s="10" t="s">
        <v>592</v>
      </c>
    </row>
    <row r="34" spans="1:13">
      <c r="A34" s="5">
        <v>24</v>
      </c>
      <c r="B34" s="6" t="s">
        <v>593</v>
      </c>
      <c r="C34" s="6">
        <v>5.63</v>
      </c>
      <c r="D34" s="6">
        <v>1</v>
      </c>
      <c r="E34" s="6">
        <v>2499</v>
      </c>
      <c r="F34" s="6">
        <v>1</v>
      </c>
      <c r="G34" s="6">
        <v>0</v>
      </c>
      <c r="H34" s="6">
        <v>3.2</v>
      </c>
      <c r="I34" s="6">
        <v>0</v>
      </c>
      <c r="J34" s="6">
        <v>-0.3</v>
      </c>
      <c r="K34" s="6">
        <v>-0.1</v>
      </c>
      <c r="L34" s="6">
        <v>2518</v>
      </c>
      <c r="M34" s="7" t="s">
        <v>594</v>
      </c>
    </row>
    <row r="35" spans="1:13">
      <c r="A35" s="8">
        <v>25</v>
      </c>
      <c r="B35" s="9" t="s">
        <v>593</v>
      </c>
      <c r="C35" s="9">
        <v>4.62</v>
      </c>
      <c r="D35" s="9">
        <v>1</v>
      </c>
      <c r="E35" s="9">
        <v>2499</v>
      </c>
      <c r="F35" s="9">
        <v>0</v>
      </c>
      <c r="G35" s="9">
        <v>0</v>
      </c>
      <c r="H35" s="9">
        <v>3.2</v>
      </c>
      <c r="I35" s="9">
        <v>0</v>
      </c>
      <c r="J35" s="9">
        <v>-0.4</v>
      </c>
      <c r="K35" s="9">
        <v>0</v>
      </c>
      <c r="L35" s="9">
        <v>2518</v>
      </c>
      <c r="M35" s="10" t="s">
        <v>595</v>
      </c>
    </row>
    <row r="36" spans="1:13">
      <c r="A36" s="5">
        <v>26</v>
      </c>
      <c r="B36" s="6" t="s">
        <v>593</v>
      </c>
      <c r="C36" s="6">
        <v>3.62</v>
      </c>
      <c r="D36" s="6">
        <v>1</v>
      </c>
      <c r="E36" s="6">
        <v>2499</v>
      </c>
      <c r="F36" s="6">
        <v>0</v>
      </c>
      <c r="G36" s="6">
        <v>0</v>
      </c>
      <c r="H36" s="6">
        <v>3.3</v>
      </c>
      <c r="I36" s="6">
        <v>0</v>
      </c>
      <c r="J36" s="6">
        <v>-0.3</v>
      </c>
      <c r="K36" s="6">
        <v>0</v>
      </c>
      <c r="L36" s="6">
        <v>2518</v>
      </c>
      <c r="M36" s="7" t="s">
        <v>596</v>
      </c>
    </row>
    <row r="37" spans="1:13">
      <c r="A37" s="8">
        <v>27</v>
      </c>
      <c r="B37" s="9" t="s">
        <v>318</v>
      </c>
      <c r="C37" s="9">
        <v>2.62</v>
      </c>
      <c r="D37" s="9">
        <v>1</v>
      </c>
      <c r="E37" s="9">
        <v>2499</v>
      </c>
      <c r="F37" s="9">
        <v>0</v>
      </c>
      <c r="G37" s="9">
        <v>0</v>
      </c>
      <c r="H37" s="9">
        <v>3.4</v>
      </c>
      <c r="I37" s="9">
        <v>0</v>
      </c>
      <c r="J37" s="9">
        <v>-0.4</v>
      </c>
      <c r="K37" s="9">
        <v>0</v>
      </c>
      <c r="L37" s="9">
        <v>2518</v>
      </c>
      <c r="M37" s="10" t="s">
        <v>597</v>
      </c>
    </row>
    <row r="38" spans="1:13">
      <c r="A38" s="5">
        <v>28</v>
      </c>
      <c r="B38" s="6" t="s">
        <v>318</v>
      </c>
      <c r="C38" s="6">
        <v>1.62</v>
      </c>
      <c r="D38" s="6">
        <v>1</v>
      </c>
      <c r="E38" s="6">
        <v>2500</v>
      </c>
      <c r="F38" s="6">
        <v>1</v>
      </c>
      <c r="G38" s="6">
        <v>0</v>
      </c>
      <c r="H38" s="6">
        <v>3.5</v>
      </c>
      <c r="I38" s="6">
        <v>0</v>
      </c>
      <c r="J38" s="6">
        <v>-0.3</v>
      </c>
      <c r="K38" s="6">
        <v>0</v>
      </c>
      <c r="L38" s="6">
        <v>2518</v>
      </c>
      <c r="M38" s="7" t="s">
        <v>598</v>
      </c>
    </row>
    <row r="39" spans="1:13">
      <c r="A39" s="11">
        <v>29</v>
      </c>
      <c r="B39" s="12" t="s">
        <v>564</v>
      </c>
      <c r="C39" s="12">
        <v>0.62</v>
      </c>
      <c r="D39" s="12">
        <v>1</v>
      </c>
      <c r="E39" s="12">
        <v>2500</v>
      </c>
      <c r="F39" s="12">
        <v>0</v>
      </c>
      <c r="G39" s="12">
        <v>0</v>
      </c>
      <c r="H39" s="12">
        <v>0</v>
      </c>
      <c r="I39" s="12">
        <v>0</v>
      </c>
      <c r="J39" s="12">
        <v>-0.3</v>
      </c>
      <c r="K39" s="12">
        <v>0</v>
      </c>
      <c r="L39" s="12">
        <v>2518</v>
      </c>
      <c r="M39" s="13" t="s">
        <v>599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505D-FD32-4E69-91FD-22A07EAE116B}">
  <dimension ref="A1:P39"/>
  <sheetViews>
    <sheetView zoomScale="85" zoomScaleNormal="85" workbookViewId="0">
      <selection activeCell="P14" sqref="P14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521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130</v>
      </c>
      <c r="C4" s="6" t="s">
        <v>13</v>
      </c>
      <c r="D4" s="6" t="s">
        <v>13</v>
      </c>
      <c r="E4" s="6" t="s">
        <v>19</v>
      </c>
      <c r="F4" s="6" t="s">
        <v>130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522</v>
      </c>
      <c r="C5" s="9" t="s">
        <v>13</v>
      </c>
      <c r="D5" s="9" t="s">
        <v>13</v>
      </c>
      <c r="E5" s="9" t="s">
        <v>22</v>
      </c>
      <c r="F5" s="9" t="s">
        <v>523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327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280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O10" s="22" t="s">
        <v>124</v>
      </c>
      <c r="P10">
        <v>10.68</v>
      </c>
    </row>
    <row r="11" spans="1:16">
      <c r="A11" s="8">
        <v>1</v>
      </c>
      <c r="B11" s="9" t="s">
        <v>334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2418</v>
      </c>
      <c r="M11" s="10" t="s">
        <v>524</v>
      </c>
      <c r="O11" s="23" t="s">
        <v>127</v>
      </c>
      <c r="P11">
        <f>SUM(F22:F27)</f>
        <v>2361</v>
      </c>
    </row>
    <row r="12" spans="1:16">
      <c r="A12" s="5">
        <v>2</v>
      </c>
      <c r="B12" s="6" t="s">
        <v>334</v>
      </c>
      <c r="C12" s="6">
        <v>1</v>
      </c>
      <c r="D12" s="6">
        <v>1</v>
      </c>
      <c r="E12" s="6">
        <v>3</v>
      </c>
      <c r="F12" s="6">
        <v>3</v>
      </c>
      <c r="G12" s="6">
        <v>0</v>
      </c>
      <c r="H12" s="6">
        <v>3.1</v>
      </c>
      <c r="I12" s="6">
        <v>0</v>
      </c>
      <c r="J12" s="6">
        <v>-0.3</v>
      </c>
      <c r="K12" s="6">
        <v>0</v>
      </c>
      <c r="L12" s="6">
        <v>2418</v>
      </c>
      <c r="M12" s="7" t="s">
        <v>524</v>
      </c>
      <c r="O12" s="23" t="s">
        <v>125</v>
      </c>
      <c r="P12">
        <f>AVERAGE(H21:H25)</f>
        <v>0.4</v>
      </c>
    </row>
    <row r="13" spans="1:16">
      <c r="A13" s="8">
        <v>3</v>
      </c>
      <c r="B13" s="9" t="s">
        <v>337</v>
      </c>
      <c r="C13" s="9">
        <v>2.0099999999999998</v>
      </c>
      <c r="D13" s="9">
        <v>1</v>
      </c>
      <c r="E13" s="9">
        <v>3</v>
      </c>
      <c r="F13" s="9">
        <v>0</v>
      </c>
      <c r="G13" s="9">
        <v>0</v>
      </c>
      <c r="H13" s="9">
        <v>3.1</v>
      </c>
      <c r="I13" s="9">
        <v>0</v>
      </c>
      <c r="J13" s="9">
        <v>-0.2</v>
      </c>
      <c r="K13" s="9">
        <v>0</v>
      </c>
      <c r="L13" s="9">
        <v>2418</v>
      </c>
      <c r="M13" s="10" t="s">
        <v>525</v>
      </c>
      <c r="O13" s="23" t="s">
        <v>126</v>
      </c>
      <c r="P13">
        <f>AVERAGE(H26:H29)</f>
        <v>0.75</v>
      </c>
    </row>
    <row r="14" spans="1:16">
      <c r="A14" s="5">
        <v>4</v>
      </c>
      <c r="B14" s="6" t="s">
        <v>337</v>
      </c>
      <c r="C14" s="6">
        <v>3.01</v>
      </c>
      <c r="D14" s="6">
        <v>1</v>
      </c>
      <c r="E14" s="6">
        <v>3</v>
      </c>
      <c r="F14" s="6">
        <v>0</v>
      </c>
      <c r="G14" s="6">
        <v>0</v>
      </c>
      <c r="H14" s="6">
        <v>2.9</v>
      </c>
      <c r="I14" s="6">
        <v>0</v>
      </c>
      <c r="J14" s="6">
        <v>-0.3</v>
      </c>
      <c r="K14" s="6">
        <v>-0.1</v>
      </c>
      <c r="L14" s="6">
        <v>2418</v>
      </c>
      <c r="M14" s="7" t="s">
        <v>526</v>
      </c>
    </row>
    <row r="15" spans="1:16">
      <c r="A15" s="8">
        <v>5</v>
      </c>
      <c r="B15" s="9" t="s">
        <v>337</v>
      </c>
      <c r="C15" s="9">
        <v>4.0199999999999996</v>
      </c>
      <c r="D15" s="9">
        <v>1</v>
      </c>
      <c r="E15" s="9">
        <v>4</v>
      </c>
      <c r="F15" s="9">
        <v>1</v>
      </c>
      <c r="G15" s="9">
        <v>0</v>
      </c>
      <c r="H15" s="9">
        <v>3</v>
      </c>
      <c r="I15" s="9">
        <v>0</v>
      </c>
      <c r="J15" s="9">
        <v>-0.2</v>
      </c>
      <c r="K15" s="9">
        <v>0.1</v>
      </c>
      <c r="L15" s="9">
        <v>2418</v>
      </c>
      <c r="M15" s="10" t="s">
        <v>527</v>
      </c>
    </row>
    <row r="16" spans="1:16">
      <c r="A16" s="5">
        <v>6</v>
      </c>
      <c r="B16" s="6" t="s">
        <v>341</v>
      </c>
      <c r="C16" s="6">
        <v>5.03</v>
      </c>
      <c r="D16" s="6">
        <v>1</v>
      </c>
      <c r="E16" s="6">
        <v>4</v>
      </c>
      <c r="F16" s="6">
        <v>0</v>
      </c>
      <c r="G16" s="6">
        <v>0</v>
      </c>
      <c r="H16" s="6">
        <v>3</v>
      </c>
      <c r="I16" s="6">
        <v>0</v>
      </c>
      <c r="J16" s="6">
        <v>-0.2</v>
      </c>
      <c r="K16" s="6">
        <v>0</v>
      </c>
      <c r="L16" s="6">
        <v>2418</v>
      </c>
      <c r="M16" s="7" t="s">
        <v>528</v>
      </c>
    </row>
    <row r="17" spans="1:13">
      <c r="A17" s="8">
        <v>7</v>
      </c>
      <c r="B17" s="9" t="s">
        <v>341</v>
      </c>
      <c r="C17" s="9">
        <v>6.04</v>
      </c>
      <c r="D17" s="9">
        <v>1</v>
      </c>
      <c r="E17" s="9">
        <v>4</v>
      </c>
      <c r="F17" s="9">
        <v>0</v>
      </c>
      <c r="G17" s="9">
        <v>24</v>
      </c>
      <c r="H17" s="9">
        <v>2.9</v>
      </c>
      <c r="I17" s="9">
        <v>85</v>
      </c>
      <c r="J17" s="9">
        <v>-0.2</v>
      </c>
      <c r="K17" s="9">
        <v>0.1</v>
      </c>
      <c r="L17" s="9">
        <v>2418</v>
      </c>
      <c r="M17" s="10" t="s">
        <v>529</v>
      </c>
    </row>
    <row r="18" spans="1:13">
      <c r="A18" s="5">
        <v>8</v>
      </c>
      <c r="B18" s="6" t="s">
        <v>341</v>
      </c>
      <c r="C18" s="6">
        <v>7.07</v>
      </c>
      <c r="D18" s="6">
        <v>1</v>
      </c>
      <c r="E18" s="6">
        <v>5</v>
      </c>
      <c r="F18" s="6">
        <v>1</v>
      </c>
      <c r="G18" s="6">
        <v>24</v>
      </c>
      <c r="H18" s="6">
        <v>2.9</v>
      </c>
      <c r="I18" s="6">
        <v>86</v>
      </c>
      <c r="J18" s="6">
        <v>-0.3</v>
      </c>
      <c r="K18" s="6">
        <v>0.1</v>
      </c>
      <c r="L18" s="6">
        <v>2418</v>
      </c>
      <c r="M18" s="7" t="s">
        <v>530</v>
      </c>
    </row>
    <row r="19" spans="1:13">
      <c r="A19" s="8">
        <v>9</v>
      </c>
      <c r="B19" s="9" t="s">
        <v>302</v>
      </c>
      <c r="C19" s="9">
        <v>8.09</v>
      </c>
      <c r="D19" s="9">
        <v>1</v>
      </c>
      <c r="E19" s="9">
        <v>5</v>
      </c>
      <c r="F19" s="9">
        <v>0</v>
      </c>
      <c r="G19" s="9">
        <v>24</v>
      </c>
      <c r="H19" s="9">
        <v>2.6</v>
      </c>
      <c r="I19" s="9">
        <v>85</v>
      </c>
      <c r="J19" s="9">
        <v>-0.3</v>
      </c>
      <c r="K19" s="9">
        <v>-0.1</v>
      </c>
      <c r="L19" s="9">
        <v>2418</v>
      </c>
      <c r="M19" s="10" t="s">
        <v>531</v>
      </c>
    </row>
    <row r="20" spans="1:13">
      <c r="A20" s="5">
        <v>10</v>
      </c>
      <c r="B20" s="6" t="s">
        <v>532</v>
      </c>
      <c r="C20" s="6">
        <v>9.09</v>
      </c>
      <c r="D20" s="6">
        <v>1</v>
      </c>
      <c r="E20" s="6">
        <v>7</v>
      </c>
      <c r="F20" s="6">
        <v>2</v>
      </c>
      <c r="G20" s="6">
        <v>24</v>
      </c>
      <c r="H20" s="6">
        <v>0.4</v>
      </c>
      <c r="I20" s="6">
        <v>85</v>
      </c>
      <c r="J20" s="6">
        <v>-0.3</v>
      </c>
      <c r="K20" s="6">
        <v>0.1</v>
      </c>
      <c r="L20" s="6">
        <v>2418</v>
      </c>
      <c r="M20" s="7" t="s">
        <v>533</v>
      </c>
    </row>
    <row r="21" spans="1:13">
      <c r="A21" s="15">
        <v>11</v>
      </c>
      <c r="B21" s="16" t="s">
        <v>534</v>
      </c>
      <c r="C21" s="16">
        <v>10.09</v>
      </c>
      <c r="D21" s="16">
        <v>1</v>
      </c>
      <c r="E21" s="16">
        <v>9</v>
      </c>
      <c r="F21" s="16">
        <v>2</v>
      </c>
      <c r="G21" s="16">
        <v>24</v>
      </c>
      <c r="H21" s="16">
        <v>0.4</v>
      </c>
      <c r="I21" s="16">
        <v>85</v>
      </c>
      <c r="J21" s="16">
        <v>-0.2</v>
      </c>
      <c r="K21" s="16">
        <v>0.1</v>
      </c>
      <c r="L21" s="16">
        <v>2418</v>
      </c>
      <c r="M21" s="17" t="s">
        <v>535</v>
      </c>
    </row>
    <row r="22" spans="1:13">
      <c r="A22" s="5">
        <v>12</v>
      </c>
      <c r="B22" s="6" t="s">
        <v>536</v>
      </c>
      <c r="C22" s="6">
        <v>11.09</v>
      </c>
      <c r="D22" s="6">
        <v>289</v>
      </c>
      <c r="E22" s="6">
        <v>422</v>
      </c>
      <c r="F22" s="6">
        <v>413</v>
      </c>
      <c r="G22" s="6">
        <v>24</v>
      </c>
      <c r="H22" s="6">
        <v>0.4</v>
      </c>
      <c r="I22" s="6">
        <v>88</v>
      </c>
      <c r="J22" s="6">
        <v>-0.2</v>
      </c>
      <c r="K22" s="6">
        <v>-0.1</v>
      </c>
      <c r="L22" s="6">
        <v>2418</v>
      </c>
      <c r="M22" s="7" t="s">
        <v>537</v>
      </c>
    </row>
    <row r="23" spans="1:13">
      <c r="A23" s="8">
        <v>13</v>
      </c>
      <c r="B23" s="9" t="s">
        <v>256</v>
      </c>
      <c r="C23" s="9">
        <v>12.09</v>
      </c>
      <c r="D23" s="9">
        <v>289</v>
      </c>
      <c r="E23" s="9">
        <v>1155</v>
      </c>
      <c r="F23" s="9">
        <v>733</v>
      </c>
      <c r="G23" s="9">
        <v>24</v>
      </c>
      <c r="H23" s="9">
        <v>0.4</v>
      </c>
      <c r="I23" s="9">
        <v>89</v>
      </c>
      <c r="J23" s="9">
        <v>-0.3</v>
      </c>
      <c r="K23" s="9">
        <v>0</v>
      </c>
      <c r="L23" s="9">
        <v>2418</v>
      </c>
      <c r="M23" s="10" t="s">
        <v>538</v>
      </c>
    </row>
    <row r="24" spans="1:13">
      <c r="A24" s="5">
        <v>14</v>
      </c>
      <c r="B24" s="6" t="s">
        <v>539</v>
      </c>
      <c r="C24" s="6">
        <v>13.09</v>
      </c>
      <c r="D24" s="6">
        <v>290</v>
      </c>
      <c r="E24" s="6">
        <v>1883</v>
      </c>
      <c r="F24" s="6">
        <v>728</v>
      </c>
      <c r="G24" s="6">
        <v>24</v>
      </c>
      <c r="H24" s="6">
        <v>0.4</v>
      </c>
      <c r="I24" s="6">
        <v>97</v>
      </c>
      <c r="J24" s="6">
        <v>-0.3</v>
      </c>
      <c r="K24" s="6">
        <v>0</v>
      </c>
      <c r="L24" s="6">
        <v>2418</v>
      </c>
      <c r="M24" s="7" t="s">
        <v>540</v>
      </c>
    </row>
    <row r="25" spans="1:13">
      <c r="A25" s="8">
        <v>15</v>
      </c>
      <c r="B25" s="9" t="s">
        <v>541</v>
      </c>
      <c r="C25" s="9">
        <v>13.68</v>
      </c>
      <c r="D25" s="9">
        <v>291</v>
      </c>
      <c r="E25" s="9">
        <v>2331</v>
      </c>
      <c r="F25" s="9">
        <v>448</v>
      </c>
      <c r="G25" s="9">
        <v>24</v>
      </c>
      <c r="H25" s="9">
        <v>0.4</v>
      </c>
      <c r="I25" s="9">
        <v>103</v>
      </c>
      <c r="J25" s="9">
        <v>-0.3</v>
      </c>
      <c r="K25" s="9">
        <v>0</v>
      </c>
      <c r="L25" s="9">
        <v>2418</v>
      </c>
      <c r="M25" s="10" t="s">
        <v>542</v>
      </c>
    </row>
    <row r="26" spans="1:13">
      <c r="A26" s="5">
        <v>16</v>
      </c>
      <c r="B26" s="6" t="s">
        <v>541</v>
      </c>
      <c r="C26" s="6">
        <v>13.68</v>
      </c>
      <c r="D26" s="6">
        <v>110</v>
      </c>
      <c r="E26" s="6">
        <v>2365</v>
      </c>
      <c r="F26" s="6">
        <v>34</v>
      </c>
      <c r="G26" s="6">
        <v>0</v>
      </c>
      <c r="H26" s="6">
        <v>0</v>
      </c>
      <c r="I26" s="6">
        <v>0</v>
      </c>
      <c r="J26" s="6">
        <v>-0.3</v>
      </c>
      <c r="K26" s="6">
        <v>-0.1</v>
      </c>
      <c r="L26" s="6">
        <v>2418</v>
      </c>
      <c r="M26" s="7" t="s">
        <v>543</v>
      </c>
    </row>
    <row r="27" spans="1:13">
      <c r="A27" s="8">
        <v>17</v>
      </c>
      <c r="B27" s="9" t="s">
        <v>271</v>
      </c>
      <c r="C27" s="9">
        <v>12.68</v>
      </c>
      <c r="D27" s="9">
        <v>1</v>
      </c>
      <c r="E27" s="9">
        <v>2370</v>
      </c>
      <c r="F27" s="9">
        <v>5</v>
      </c>
      <c r="G27" s="9">
        <v>24</v>
      </c>
      <c r="H27" s="9">
        <v>1</v>
      </c>
      <c r="I27" s="9">
        <v>101</v>
      </c>
      <c r="J27" s="9">
        <v>-0.3</v>
      </c>
      <c r="K27" s="9">
        <v>-0.1</v>
      </c>
      <c r="L27" s="9">
        <v>2418</v>
      </c>
      <c r="M27" s="10" t="s">
        <v>544</v>
      </c>
    </row>
    <row r="28" spans="1:13">
      <c r="A28" s="5">
        <v>18</v>
      </c>
      <c r="B28" s="6" t="s">
        <v>545</v>
      </c>
      <c r="C28" s="6">
        <v>11.68</v>
      </c>
      <c r="D28" s="6">
        <v>1</v>
      </c>
      <c r="E28" s="6">
        <v>2371</v>
      </c>
      <c r="F28" s="6">
        <v>1</v>
      </c>
      <c r="G28" s="6">
        <v>24</v>
      </c>
      <c r="H28" s="6">
        <v>1</v>
      </c>
      <c r="I28" s="6">
        <v>89</v>
      </c>
      <c r="J28" s="6">
        <v>-0.3</v>
      </c>
      <c r="K28" s="6">
        <v>0</v>
      </c>
      <c r="L28" s="6">
        <v>2418</v>
      </c>
      <c r="M28" s="7" t="s">
        <v>546</v>
      </c>
    </row>
    <row r="29" spans="1:13">
      <c r="A29" s="8">
        <v>19</v>
      </c>
      <c r="B29" s="9" t="s">
        <v>273</v>
      </c>
      <c r="C29" s="9">
        <v>10.68</v>
      </c>
      <c r="D29" s="9">
        <v>1</v>
      </c>
      <c r="E29" s="9">
        <v>2372</v>
      </c>
      <c r="F29" s="9">
        <v>1</v>
      </c>
      <c r="G29" s="9">
        <v>24</v>
      </c>
      <c r="H29" s="9">
        <v>1</v>
      </c>
      <c r="I29" s="9">
        <v>85</v>
      </c>
      <c r="J29" s="9">
        <v>-0.3</v>
      </c>
      <c r="K29" s="9">
        <v>0.1</v>
      </c>
      <c r="L29" s="9">
        <v>2418</v>
      </c>
      <c r="M29" s="10" t="s">
        <v>547</v>
      </c>
    </row>
    <row r="30" spans="1:13">
      <c r="A30" s="5">
        <v>20</v>
      </c>
      <c r="B30" s="6" t="s">
        <v>548</v>
      </c>
      <c r="C30" s="6">
        <v>9.68</v>
      </c>
      <c r="D30" s="6">
        <v>1</v>
      </c>
      <c r="E30" s="6">
        <v>2373</v>
      </c>
      <c r="F30" s="6">
        <v>1</v>
      </c>
      <c r="G30" s="6">
        <v>24</v>
      </c>
      <c r="H30" s="6">
        <v>2</v>
      </c>
      <c r="I30" s="6">
        <v>85</v>
      </c>
      <c r="J30" s="6">
        <v>-0.3</v>
      </c>
      <c r="K30" s="6">
        <v>-0.1</v>
      </c>
      <c r="L30" s="6">
        <v>2418</v>
      </c>
      <c r="M30" s="7" t="s">
        <v>549</v>
      </c>
    </row>
    <row r="31" spans="1:13">
      <c r="A31" s="8">
        <v>21</v>
      </c>
      <c r="B31" s="9" t="s">
        <v>548</v>
      </c>
      <c r="C31" s="9">
        <v>8.68</v>
      </c>
      <c r="D31" s="9">
        <v>1</v>
      </c>
      <c r="E31" s="9">
        <v>2374</v>
      </c>
      <c r="F31" s="9">
        <v>1</v>
      </c>
      <c r="G31" s="9">
        <v>0</v>
      </c>
      <c r="H31" s="9">
        <v>3.1</v>
      </c>
      <c r="I31" s="9">
        <v>0</v>
      </c>
      <c r="J31" s="9">
        <v>-0.2</v>
      </c>
      <c r="K31" s="9">
        <v>0.1</v>
      </c>
      <c r="L31" s="9">
        <v>2418</v>
      </c>
      <c r="M31" s="10" t="s">
        <v>550</v>
      </c>
    </row>
    <row r="32" spans="1:13">
      <c r="A32" s="5">
        <v>22</v>
      </c>
      <c r="B32" s="6" t="s">
        <v>275</v>
      </c>
      <c r="C32" s="6">
        <v>7.67</v>
      </c>
      <c r="D32" s="6">
        <v>1</v>
      </c>
      <c r="E32" s="6">
        <v>2374</v>
      </c>
      <c r="F32" s="6">
        <v>0</v>
      </c>
      <c r="G32" s="6">
        <v>0</v>
      </c>
      <c r="H32" s="6">
        <v>3.1</v>
      </c>
      <c r="I32" s="6">
        <v>0</v>
      </c>
      <c r="J32" s="6">
        <v>-0.3</v>
      </c>
      <c r="K32" s="6">
        <v>0</v>
      </c>
      <c r="L32" s="6">
        <v>2418</v>
      </c>
      <c r="M32" s="7" t="s">
        <v>551</v>
      </c>
    </row>
    <row r="33" spans="1:13">
      <c r="A33" s="8">
        <v>23</v>
      </c>
      <c r="B33" s="9" t="s">
        <v>275</v>
      </c>
      <c r="C33" s="9">
        <v>6.65</v>
      </c>
      <c r="D33" s="9">
        <v>1</v>
      </c>
      <c r="E33" s="9">
        <v>2374</v>
      </c>
      <c r="F33" s="9">
        <v>0</v>
      </c>
      <c r="G33" s="9">
        <v>0</v>
      </c>
      <c r="H33" s="9">
        <v>3.2</v>
      </c>
      <c r="I33" s="9">
        <v>0</v>
      </c>
      <c r="J33" s="9">
        <v>-0.2</v>
      </c>
      <c r="K33" s="9">
        <v>0</v>
      </c>
      <c r="L33" s="9">
        <v>2418</v>
      </c>
      <c r="M33" s="10" t="s">
        <v>552</v>
      </c>
    </row>
    <row r="34" spans="1:13">
      <c r="A34" s="5">
        <v>24</v>
      </c>
      <c r="B34" s="6" t="s">
        <v>275</v>
      </c>
      <c r="C34" s="6">
        <v>5.64</v>
      </c>
      <c r="D34" s="6">
        <v>1</v>
      </c>
      <c r="E34" s="6">
        <v>2375</v>
      </c>
      <c r="F34" s="6">
        <v>1</v>
      </c>
      <c r="G34" s="6">
        <v>0</v>
      </c>
      <c r="H34" s="6">
        <v>2.8</v>
      </c>
      <c r="I34" s="6">
        <v>0</v>
      </c>
      <c r="J34" s="6">
        <v>-0.3</v>
      </c>
      <c r="K34" s="6">
        <v>-0.1</v>
      </c>
      <c r="L34" s="6">
        <v>2418</v>
      </c>
      <c r="M34" s="7" t="s">
        <v>553</v>
      </c>
    </row>
    <row r="35" spans="1:13">
      <c r="A35" s="8">
        <v>25</v>
      </c>
      <c r="B35" s="9" t="s">
        <v>554</v>
      </c>
      <c r="C35" s="9">
        <v>4.6399999999999997</v>
      </c>
      <c r="D35" s="9">
        <v>1</v>
      </c>
      <c r="E35" s="9">
        <v>2375</v>
      </c>
      <c r="F35" s="9">
        <v>0</v>
      </c>
      <c r="G35" s="9">
        <v>0</v>
      </c>
      <c r="H35" s="9">
        <v>2.8</v>
      </c>
      <c r="I35" s="9">
        <v>0</v>
      </c>
      <c r="J35" s="9">
        <v>-0.3</v>
      </c>
      <c r="K35" s="9">
        <v>-0.1</v>
      </c>
      <c r="L35" s="9">
        <v>2418</v>
      </c>
      <c r="M35" s="10" t="s">
        <v>555</v>
      </c>
    </row>
    <row r="36" spans="1:13">
      <c r="A36" s="5">
        <v>26</v>
      </c>
      <c r="B36" s="6" t="s">
        <v>554</v>
      </c>
      <c r="C36" s="6">
        <v>3.62</v>
      </c>
      <c r="D36" s="6">
        <v>1</v>
      </c>
      <c r="E36" s="6">
        <v>2375</v>
      </c>
      <c r="F36" s="6">
        <v>0</v>
      </c>
      <c r="G36" s="6">
        <v>0</v>
      </c>
      <c r="H36" s="6">
        <v>2.9</v>
      </c>
      <c r="I36" s="6">
        <v>0</v>
      </c>
      <c r="J36" s="6">
        <v>-0.3</v>
      </c>
      <c r="K36" s="6">
        <v>-0.1</v>
      </c>
      <c r="L36" s="6">
        <v>2418</v>
      </c>
      <c r="M36" s="7" t="s">
        <v>556</v>
      </c>
    </row>
    <row r="37" spans="1:13">
      <c r="A37" s="8">
        <v>27</v>
      </c>
      <c r="B37" s="9" t="s">
        <v>554</v>
      </c>
      <c r="C37" s="9">
        <v>2.62</v>
      </c>
      <c r="D37" s="9">
        <v>1</v>
      </c>
      <c r="E37" s="9">
        <v>2376</v>
      </c>
      <c r="F37" s="9">
        <v>1</v>
      </c>
      <c r="G37" s="9">
        <v>0</v>
      </c>
      <c r="H37" s="9">
        <v>2.8</v>
      </c>
      <c r="I37" s="9">
        <v>0</v>
      </c>
      <c r="J37" s="9">
        <v>-0.2</v>
      </c>
      <c r="K37" s="9">
        <v>0.1</v>
      </c>
      <c r="L37" s="9">
        <v>2418</v>
      </c>
      <c r="M37" s="10" t="s">
        <v>557</v>
      </c>
    </row>
    <row r="38" spans="1:13">
      <c r="A38" s="5">
        <v>28</v>
      </c>
      <c r="B38" s="6" t="s">
        <v>278</v>
      </c>
      <c r="C38" s="6">
        <v>1.62</v>
      </c>
      <c r="D38" s="6">
        <v>1</v>
      </c>
      <c r="E38" s="6">
        <v>2376</v>
      </c>
      <c r="F38" s="6">
        <v>0</v>
      </c>
      <c r="G38" s="6">
        <v>0</v>
      </c>
      <c r="H38" s="6">
        <v>2.4</v>
      </c>
      <c r="I38" s="6">
        <v>0</v>
      </c>
      <c r="J38" s="6">
        <v>-0.3</v>
      </c>
      <c r="K38" s="6">
        <v>0.1</v>
      </c>
      <c r="L38" s="6">
        <v>2418</v>
      </c>
      <c r="M38" s="7" t="s">
        <v>558</v>
      </c>
    </row>
    <row r="39" spans="1:13">
      <c r="A39" s="11">
        <v>29</v>
      </c>
      <c r="B39" s="12" t="s">
        <v>278</v>
      </c>
      <c r="C39" s="12">
        <v>0.62</v>
      </c>
      <c r="D39" s="12">
        <v>1</v>
      </c>
      <c r="E39" s="12">
        <v>2377</v>
      </c>
      <c r="F39" s="12">
        <v>0</v>
      </c>
      <c r="G39" s="12">
        <v>0</v>
      </c>
      <c r="H39" s="12">
        <v>1</v>
      </c>
      <c r="I39" s="12">
        <v>0</v>
      </c>
      <c r="J39" s="12">
        <v>-0.3</v>
      </c>
      <c r="K39" s="12">
        <v>0.1</v>
      </c>
      <c r="L39" s="12">
        <v>2418</v>
      </c>
      <c r="M39" s="13" t="s">
        <v>559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9DCA-9167-4ED9-AAAC-A3C5C76C7B2B}">
  <dimension ref="A1:P39"/>
  <sheetViews>
    <sheetView topLeftCell="A10" workbookViewId="0">
      <selection activeCell="P15" sqref="P15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374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483</v>
      </c>
      <c r="C4" s="6" t="s">
        <v>13</v>
      </c>
      <c r="D4" s="6" t="s">
        <v>13</v>
      </c>
      <c r="E4" s="6" t="s">
        <v>19</v>
      </c>
      <c r="F4" s="6" t="s">
        <v>483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484</v>
      </c>
      <c r="C5" s="9" t="s">
        <v>13</v>
      </c>
      <c r="D5" s="9" t="s">
        <v>13</v>
      </c>
      <c r="E5" s="9" t="s">
        <v>22</v>
      </c>
      <c r="F5" s="9" t="s">
        <v>485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486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242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</row>
    <row r="11" spans="1:16">
      <c r="A11" s="8">
        <v>1</v>
      </c>
      <c r="B11" s="9" t="s">
        <v>487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2318</v>
      </c>
      <c r="M11" s="10" t="s">
        <v>488</v>
      </c>
      <c r="O11" s="22" t="s">
        <v>124</v>
      </c>
      <c r="P11">
        <v>10.65</v>
      </c>
    </row>
    <row r="12" spans="1:16">
      <c r="A12" s="5">
        <v>2</v>
      </c>
      <c r="B12" s="6" t="s">
        <v>487</v>
      </c>
      <c r="C12" s="6">
        <v>1.02</v>
      </c>
      <c r="D12" s="6">
        <v>1</v>
      </c>
      <c r="E12" s="6">
        <v>4</v>
      </c>
      <c r="F12" s="6">
        <v>4</v>
      </c>
      <c r="G12" s="6">
        <v>0</v>
      </c>
      <c r="H12" s="6">
        <v>3.4</v>
      </c>
      <c r="I12" s="6">
        <v>0</v>
      </c>
      <c r="J12" s="6">
        <v>-0.3</v>
      </c>
      <c r="K12" s="6">
        <v>-0.1</v>
      </c>
      <c r="L12" s="6">
        <v>2318</v>
      </c>
      <c r="M12" s="7" t="s">
        <v>488</v>
      </c>
      <c r="O12" s="23" t="s">
        <v>127</v>
      </c>
      <c r="P12">
        <f>SUM(F21:F27)</f>
        <v>2400</v>
      </c>
    </row>
    <row r="13" spans="1:16">
      <c r="A13" s="8">
        <v>3</v>
      </c>
      <c r="B13" s="9" t="s">
        <v>487</v>
      </c>
      <c r="C13" s="9">
        <v>2.04</v>
      </c>
      <c r="D13" s="9">
        <v>1</v>
      </c>
      <c r="E13" s="9">
        <v>4</v>
      </c>
      <c r="F13" s="9">
        <v>0</v>
      </c>
      <c r="G13" s="9">
        <v>0</v>
      </c>
      <c r="H13" s="9">
        <v>3.4</v>
      </c>
      <c r="I13" s="9">
        <v>0</v>
      </c>
      <c r="J13" s="9">
        <v>-0.3</v>
      </c>
      <c r="K13" s="9">
        <v>-0.1</v>
      </c>
      <c r="L13" s="9">
        <v>2318</v>
      </c>
      <c r="M13" s="10" t="s">
        <v>490</v>
      </c>
      <c r="O13" s="23" t="s">
        <v>125</v>
      </c>
      <c r="P13">
        <f>AVERAGE(H21:H25)</f>
        <v>0.38</v>
      </c>
    </row>
    <row r="14" spans="1:16">
      <c r="A14" s="5">
        <v>4</v>
      </c>
      <c r="B14" s="6" t="s">
        <v>491</v>
      </c>
      <c r="C14" s="6">
        <v>3.05</v>
      </c>
      <c r="D14" s="6">
        <v>1</v>
      </c>
      <c r="E14" s="6">
        <v>4</v>
      </c>
      <c r="F14" s="6">
        <v>0</v>
      </c>
      <c r="G14" s="6">
        <v>0</v>
      </c>
      <c r="H14" s="6">
        <v>3.3</v>
      </c>
      <c r="I14" s="6">
        <v>0</v>
      </c>
      <c r="J14" s="6">
        <v>-0.3</v>
      </c>
      <c r="K14" s="6">
        <v>-0.2</v>
      </c>
      <c r="L14" s="6">
        <v>2318</v>
      </c>
      <c r="M14" s="7" t="s">
        <v>492</v>
      </c>
      <c r="O14" s="23" t="s">
        <v>126</v>
      </c>
      <c r="P14">
        <f>AVERAGE(H26:H29)</f>
        <v>0.75</v>
      </c>
    </row>
    <row r="15" spans="1:16">
      <c r="A15" s="8">
        <v>5</v>
      </c>
      <c r="B15" s="9" t="s">
        <v>491</v>
      </c>
      <c r="C15" s="9">
        <v>4.0599999999999996</v>
      </c>
      <c r="D15" s="9">
        <v>1</v>
      </c>
      <c r="E15" s="9">
        <v>5</v>
      </c>
      <c r="F15" s="9">
        <v>1</v>
      </c>
      <c r="G15" s="9">
        <v>0</v>
      </c>
      <c r="H15" s="9">
        <v>3.3</v>
      </c>
      <c r="I15" s="9">
        <v>0</v>
      </c>
      <c r="J15" s="9">
        <v>-0.2</v>
      </c>
      <c r="K15" s="9">
        <v>-0.1</v>
      </c>
      <c r="L15" s="9">
        <v>2318</v>
      </c>
      <c r="M15" s="10" t="s">
        <v>493</v>
      </c>
    </row>
    <row r="16" spans="1:16">
      <c r="A16" s="5">
        <v>6</v>
      </c>
      <c r="B16" s="6" t="s">
        <v>491</v>
      </c>
      <c r="C16" s="6">
        <v>5.0599999999999996</v>
      </c>
      <c r="D16" s="6">
        <v>0</v>
      </c>
      <c r="E16" s="6">
        <v>5</v>
      </c>
      <c r="F16" s="6">
        <v>0</v>
      </c>
      <c r="G16" s="6">
        <v>0</v>
      </c>
      <c r="H16" s="6">
        <v>3.2</v>
      </c>
      <c r="I16" s="6">
        <v>0</v>
      </c>
      <c r="J16" s="6">
        <v>-0.3</v>
      </c>
      <c r="K16" s="6">
        <v>-0.1</v>
      </c>
      <c r="L16" s="6">
        <v>2318</v>
      </c>
      <c r="M16" s="7" t="s">
        <v>494</v>
      </c>
    </row>
    <row r="17" spans="1:13">
      <c r="A17" s="8">
        <v>7</v>
      </c>
      <c r="B17" s="9" t="s">
        <v>495</v>
      </c>
      <c r="C17" s="9">
        <v>6.07</v>
      </c>
      <c r="D17" s="9">
        <v>1</v>
      </c>
      <c r="E17" s="9">
        <v>5</v>
      </c>
      <c r="F17" s="9">
        <v>0</v>
      </c>
      <c r="G17" s="9">
        <v>6.7</v>
      </c>
      <c r="H17" s="9">
        <v>3.3</v>
      </c>
      <c r="I17" s="9">
        <v>246</v>
      </c>
      <c r="J17" s="9">
        <v>-0.3</v>
      </c>
      <c r="K17" s="9">
        <v>-0.2</v>
      </c>
      <c r="L17" s="9">
        <v>2318</v>
      </c>
      <c r="M17" s="10" t="s">
        <v>496</v>
      </c>
    </row>
    <row r="18" spans="1:13">
      <c r="A18" s="5">
        <v>8</v>
      </c>
      <c r="B18" s="6" t="s">
        <v>495</v>
      </c>
      <c r="C18" s="6">
        <v>7.09</v>
      </c>
      <c r="D18" s="6">
        <v>1</v>
      </c>
      <c r="E18" s="6">
        <v>6</v>
      </c>
      <c r="F18" s="6">
        <v>1</v>
      </c>
      <c r="G18" s="6">
        <v>24</v>
      </c>
      <c r="H18" s="6">
        <v>3.3</v>
      </c>
      <c r="I18" s="6">
        <v>85</v>
      </c>
      <c r="J18" s="6">
        <v>-0.2</v>
      </c>
      <c r="K18" s="6">
        <v>-0.2</v>
      </c>
      <c r="L18" s="6">
        <v>2318</v>
      </c>
      <c r="M18" s="7" t="s">
        <v>497</v>
      </c>
    </row>
    <row r="19" spans="1:13">
      <c r="A19" s="8">
        <v>9</v>
      </c>
      <c r="B19" s="9" t="s">
        <v>495</v>
      </c>
      <c r="C19" s="9">
        <v>8.11</v>
      </c>
      <c r="D19" s="9">
        <v>1</v>
      </c>
      <c r="E19" s="9">
        <v>6</v>
      </c>
      <c r="F19" s="9">
        <v>0</v>
      </c>
      <c r="G19" s="9">
        <v>24</v>
      </c>
      <c r="H19" s="9">
        <v>3</v>
      </c>
      <c r="I19" s="9">
        <v>84</v>
      </c>
      <c r="J19" s="9">
        <v>-0.3</v>
      </c>
      <c r="K19" s="9">
        <v>-0.1</v>
      </c>
      <c r="L19" s="9">
        <v>2318</v>
      </c>
      <c r="M19" s="10" t="s">
        <v>498</v>
      </c>
    </row>
    <row r="20" spans="1:13">
      <c r="A20" s="5">
        <v>10</v>
      </c>
      <c r="B20" s="6" t="s">
        <v>499</v>
      </c>
      <c r="C20" s="6">
        <v>9.1199999999999992</v>
      </c>
      <c r="D20" s="6">
        <v>1</v>
      </c>
      <c r="E20" s="6">
        <v>6</v>
      </c>
      <c r="F20" s="6">
        <v>0</v>
      </c>
      <c r="G20" s="6">
        <v>24</v>
      </c>
      <c r="H20" s="6">
        <v>3.1</v>
      </c>
      <c r="I20" s="6">
        <v>85</v>
      </c>
      <c r="J20" s="6">
        <v>-0.3</v>
      </c>
      <c r="K20" s="6">
        <v>-0.1</v>
      </c>
      <c r="L20" s="6">
        <v>2318</v>
      </c>
      <c r="M20" s="7" t="s">
        <v>500</v>
      </c>
    </row>
    <row r="21" spans="1:13">
      <c r="A21" s="15">
        <v>11</v>
      </c>
      <c r="B21" s="16" t="s">
        <v>205</v>
      </c>
      <c r="C21" s="16">
        <v>10.119999999999999</v>
      </c>
      <c r="D21" s="16">
        <v>1</v>
      </c>
      <c r="E21" s="16">
        <v>8</v>
      </c>
      <c r="F21" s="16">
        <v>2</v>
      </c>
      <c r="G21" s="16">
        <v>24</v>
      </c>
      <c r="H21" s="16">
        <v>0.3</v>
      </c>
      <c r="I21" s="16">
        <v>85</v>
      </c>
      <c r="J21" s="16">
        <v>-0.3</v>
      </c>
      <c r="K21" s="16">
        <v>-0.2</v>
      </c>
      <c r="L21" s="16">
        <v>2318</v>
      </c>
      <c r="M21" s="17" t="s">
        <v>501</v>
      </c>
    </row>
    <row r="22" spans="1:13">
      <c r="A22" s="5">
        <v>12</v>
      </c>
      <c r="B22" s="6" t="s">
        <v>217</v>
      </c>
      <c r="C22" s="6">
        <v>11.12</v>
      </c>
      <c r="D22" s="6">
        <v>288</v>
      </c>
      <c r="E22" s="6">
        <v>491</v>
      </c>
      <c r="F22" s="6">
        <v>483</v>
      </c>
      <c r="G22" s="6">
        <v>24</v>
      </c>
      <c r="H22" s="6">
        <v>0.4</v>
      </c>
      <c r="I22" s="6">
        <v>89</v>
      </c>
      <c r="J22" s="6">
        <v>-0.2</v>
      </c>
      <c r="K22" s="6">
        <v>-0.1</v>
      </c>
      <c r="L22" s="6">
        <v>2318</v>
      </c>
      <c r="M22" s="7" t="s">
        <v>502</v>
      </c>
    </row>
    <row r="23" spans="1:13">
      <c r="A23" s="8">
        <v>13</v>
      </c>
      <c r="B23" s="9" t="s">
        <v>219</v>
      </c>
      <c r="C23" s="9">
        <v>12.12</v>
      </c>
      <c r="D23" s="9">
        <v>289</v>
      </c>
      <c r="E23" s="9">
        <v>1228</v>
      </c>
      <c r="F23" s="9">
        <v>737</v>
      </c>
      <c r="G23" s="9">
        <v>24</v>
      </c>
      <c r="H23" s="9">
        <v>0.4</v>
      </c>
      <c r="I23" s="9">
        <v>92</v>
      </c>
      <c r="J23" s="9">
        <v>-0.2</v>
      </c>
      <c r="K23" s="9">
        <v>-0.1</v>
      </c>
      <c r="L23" s="9">
        <v>2318</v>
      </c>
      <c r="M23" s="10" t="s">
        <v>503</v>
      </c>
    </row>
    <row r="24" spans="1:13">
      <c r="A24" s="5">
        <v>14</v>
      </c>
      <c r="B24" s="6" t="s">
        <v>221</v>
      </c>
      <c r="C24" s="6">
        <v>13.12</v>
      </c>
      <c r="D24" s="6">
        <v>288</v>
      </c>
      <c r="E24" s="6">
        <v>1962</v>
      </c>
      <c r="F24" s="6">
        <v>734</v>
      </c>
      <c r="G24" s="6">
        <v>24</v>
      </c>
      <c r="H24" s="6">
        <v>0.4</v>
      </c>
      <c r="I24" s="6">
        <v>98</v>
      </c>
      <c r="J24" s="6">
        <v>-0.2</v>
      </c>
      <c r="K24" s="6">
        <v>-0.1</v>
      </c>
      <c r="L24" s="6">
        <v>2318</v>
      </c>
      <c r="M24" s="7" t="s">
        <v>504</v>
      </c>
    </row>
    <row r="25" spans="1:13">
      <c r="A25" s="8">
        <v>15</v>
      </c>
      <c r="B25" s="9" t="s">
        <v>505</v>
      </c>
      <c r="C25" s="9">
        <v>13.65</v>
      </c>
      <c r="D25" s="9">
        <v>286</v>
      </c>
      <c r="E25" s="9">
        <v>2365</v>
      </c>
      <c r="F25" s="9">
        <v>403</v>
      </c>
      <c r="G25" s="9">
        <v>24</v>
      </c>
      <c r="H25" s="9">
        <v>0.4</v>
      </c>
      <c r="I25" s="9">
        <v>99</v>
      </c>
      <c r="J25" s="9">
        <v>-0.3</v>
      </c>
      <c r="K25" s="9">
        <v>-0.1</v>
      </c>
      <c r="L25" s="9">
        <v>2318</v>
      </c>
      <c r="M25" s="10" t="s">
        <v>506</v>
      </c>
    </row>
    <row r="26" spans="1:13">
      <c r="A26" s="5">
        <v>16</v>
      </c>
      <c r="B26" s="6" t="s">
        <v>505</v>
      </c>
      <c r="C26" s="6">
        <v>13.65</v>
      </c>
      <c r="D26" s="6">
        <v>220</v>
      </c>
      <c r="E26" s="6">
        <v>2397</v>
      </c>
      <c r="F26" s="6">
        <v>32</v>
      </c>
      <c r="G26" s="6">
        <v>0</v>
      </c>
      <c r="H26" s="6">
        <v>0</v>
      </c>
      <c r="I26" s="6">
        <v>0</v>
      </c>
      <c r="J26" s="6">
        <v>-0.2</v>
      </c>
      <c r="K26" s="6">
        <v>-0.2</v>
      </c>
      <c r="L26" s="6">
        <v>2318</v>
      </c>
      <c r="M26" s="7" t="s">
        <v>507</v>
      </c>
    </row>
    <row r="27" spans="1:13">
      <c r="A27" s="8">
        <v>17</v>
      </c>
      <c r="B27" s="9" t="s">
        <v>225</v>
      </c>
      <c r="C27" s="9">
        <v>12.65</v>
      </c>
      <c r="D27" s="9">
        <v>1</v>
      </c>
      <c r="E27" s="9">
        <v>2406</v>
      </c>
      <c r="F27" s="9">
        <v>9</v>
      </c>
      <c r="G27" s="9">
        <v>24</v>
      </c>
      <c r="H27" s="9">
        <v>1</v>
      </c>
      <c r="I27" s="9">
        <v>97</v>
      </c>
      <c r="J27" s="9">
        <v>-0.3</v>
      </c>
      <c r="K27" s="9">
        <v>-0.1</v>
      </c>
      <c r="L27" s="9">
        <v>2318</v>
      </c>
      <c r="M27" s="10" t="s">
        <v>508</v>
      </c>
    </row>
    <row r="28" spans="1:13">
      <c r="A28" s="5">
        <v>18</v>
      </c>
      <c r="B28" s="6" t="s">
        <v>509</v>
      </c>
      <c r="C28" s="6">
        <v>11.65</v>
      </c>
      <c r="D28" s="6">
        <v>1</v>
      </c>
      <c r="E28" s="6">
        <v>2407</v>
      </c>
      <c r="F28" s="6">
        <v>1</v>
      </c>
      <c r="G28" s="6">
        <v>24</v>
      </c>
      <c r="H28" s="6">
        <v>1</v>
      </c>
      <c r="I28" s="6">
        <v>87</v>
      </c>
      <c r="J28" s="6">
        <v>-0.3</v>
      </c>
      <c r="K28" s="6">
        <v>-0.2</v>
      </c>
      <c r="L28" s="6">
        <v>2318</v>
      </c>
      <c r="M28" s="7" t="s">
        <v>510</v>
      </c>
    </row>
    <row r="29" spans="1:13">
      <c r="A29" s="8">
        <v>19</v>
      </c>
      <c r="B29" s="9" t="s">
        <v>229</v>
      </c>
      <c r="C29" s="9">
        <v>10.65</v>
      </c>
      <c r="D29" s="9">
        <v>1</v>
      </c>
      <c r="E29" s="9">
        <v>2408</v>
      </c>
      <c r="F29" s="9">
        <v>1</v>
      </c>
      <c r="G29" s="9">
        <v>24</v>
      </c>
      <c r="H29" s="9">
        <v>1</v>
      </c>
      <c r="I29" s="9">
        <v>84</v>
      </c>
      <c r="J29" s="9">
        <v>-0.3</v>
      </c>
      <c r="K29" s="9">
        <v>-0.2</v>
      </c>
      <c r="L29" s="9">
        <v>2318</v>
      </c>
      <c r="M29" s="10" t="s">
        <v>511</v>
      </c>
    </row>
    <row r="30" spans="1:13">
      <c r="A30" s="5">
        <v>20</v>
      </c>
      <c r="B30" s="6" t="s">
        <v>231</v>
      </c>
      <c r="C30" s="6">
        <v>9.64</v>
      </c>
      <c r="D30" s="6">
        <v>1</v>
      </c>
      <c r="E30" s="6">
        <v>2409</v>
      </c>
      <c r="F30" s="6">
        <v>1</v>
      </c>
      <c r="G30" s="6">
        <v>24</v>
      </c>
      <c r="H30" s="6">
        <v>1.9</v>
      </c>
      <c r="I30" s="6">
        <v>84</v>
      </c>
      <c r="J30" s="6">
        <v>-0.2</v>
      </c>
      <c r="K30" s="6">
        <v>-0.1</v>
      </c>
      <c r="L30" s="6">
        <v>2318</v>
      </c>
      <c r="M30" s="7" t="s">
        <v>512</v>
      </c>
    </row>
    <row r="31" spans="1:13">
      <c r="A31" s="8">
        <v>21</v>
      </c>
      <c r="B31" s="9" t="s">
        <v>231</v>
      </c>
      <c r="C31" s="9">
        <v>8.6300000000000008</v>
      </c>
      <c r="D31" s="9">
        <v>1</v>
      </c>
      <c r="E31" s="9">
        <v>2409</v>
      </c>
      <c r="F31" s="9">
        <v>0</v>
      </c>
      <c r="G31" s="9">
        <v>24</v>
      </c>
      <c r="H31" s="9">
        <v>2.8</v>
      </c>
      <c r="I31" s="9">
        <v>84</v>
      </c>
      <c r="J31" s="9">
        <v>-0.3</v>
      </c>
      <c r="K31" s="9">
        <v>-0.2</v>
      </c>
      <c r="L31" s="9">
        <v>2318</v>
      </c>
      <c r="M31" s="10" t="s">
        <v>513</v>
      </c>
    </row>
    <row r="32" spans="1:13">
      <c r="A32" s="5">
        <v>22</v>
      </c>
      <c r="B32" s="6" t="s">
        <v>233</v>
      </c>
      <c r="C32" s="6">
        <v>7.62</v>
      </c>
      <c r="D32" s="6">
        <v>1</v>
      </c>
      <c r="E32" s="6">
        <v>2410</v>
      </c>
      <c r="F32" s="6">
        <v>1</v>
      </c>
      <c r="G32" s="6">
        <v>0</v>
      </c>
      <c r="H32" s="6">
        <v>2.7</v>
      </c>
      <c r="I32" s="6">
        <v>0</v>
      </c>
      <c r="J32" s="6">
        <v>-0.2</v>
      </c>
      <c r="K32" s="6">
        <v>-0.2</v>
      </c>
      <c r="L32" s="6">
        <v>2318</v>
      </c>
      <c r="M32" s="7" t="s">
        <v>514</v>
      </c>
    </row>
    <row r="33" spans="1:13">
      <c r="A33" s="8">
        <v>23</v>
      </c>
      <c r="B33" s="9" t="s">
        <v>233</v>
      </c>
      <c r="C33" s="9">
        <v>6.59</v>
      </c>
      <c r="D33" s="9">
        <v>1</v>
      </c>
      <c r="E33" s="9">
        <v>2410</v>
      </c>
      <c r="F33" s="9">
        <v>0</v>
      </c>
      <c r="G33" s="9">
        <v>0</v>
      </c>
      <c r="H33" s="9">
        <v>2.9</v>
      </c>
      <c r="I33" s="9">
        <v>0</v>
      </c>
      <c r="J33" s="9">
        <v>-0.3</v>
      </c>
      <c r="K33" s="9">
        <v>-0.2</v>
      </c>
      <c r="L33" s="9">
        <v>2318</v>
      </c>
      <c r="M33" s="10" t="s">
        <v>515</v>
      </c>
    </row>
    <row r="34" spans="1:13">
      <c r="A34" s="5">
        <v>24</v>
      </c>
      <c r="B34" s="6" t="s">
        <v>233</v>
      </c>
      <c r="C34" s="6">
        <v>5.58</v>
      </c>
      <c r="D34" s="6">
        <v>1</v>
      </c>
      <c r="E34" s="6">
        <v>2410</v>
      </c>
      <c r="F34" s="6">
        <v>0</v>
      </c>
      <c r="G34" s="6">
        <v>0</v>
      </c>
      <c r="H34" s="6">
        <v>3.2</v>
      </c>
      <c r="I34" s="6">
        <v>0</v>
      </c>
      <c r="J34" s="6">
        <v>-0.3</v>
      </c>
      <c r="K34" s="6">
        <v>-0.2</v>
      </c>
      <c r="L34" s="6">
        <v>2318</v>
      </c>
      <c r="M34" s="7" t="s">
        <v>516</v>
      </c>
    </row>
    <row r="35" spans="1:13">
      <c r="A35" s="8">
        <v>25</v>
      </c>
      <c r="B35" s="9" t="s">
        <v>235</v>
      </c>
      <c r="C35" s="9">
        <v>4.57</v>
      </c>
      <c r="D35" s="9">
        <v>1</v>
      </c>
      <c r="E35" s="9">
        <v>2411</v>
      </c>
      <c r="F35" s="9">
        <v>1</v>
      </c>
      <c r="G35" s="9">
        <v>0</v>
      </c>
      <c r="H35" s="9">
        <v>3.3</v>
      </c>
      <c r="I35" s="9">
        <v>0</v>
      </c>
      <c r="J35" s="9">
        <v>-0.3</v>
      </c>
      <c r="K35" s="9">
        <v>-0.1</v>
      </c>
      <c r="L35" s="9">
        <v>2318</v>
      </c>
      <c r="M35" s="10" t="s">
        <v>517</v>
      </c>
    </row>
    <row r="36" spans="1:13">
      <c r="A36" s="5">
        <v>26</v>
      </c>
      <c r="B36" s="6" t="s">
        <v>235</v>
      </c>
      <c r="C36" s="6">
        <v>3.55</v>
      </c>
      <c r="D36" s="6">
        <v>1</v>
      </c>
      <c r="E36" s="6">
        <v>2411</v>
      </c>
      <c r="F36" s="6">
        <v>0</v>
      </c>
      <c r="G36" s="6">
        <v>0</v>
      </c>
      <c r="H36" s="6">
        <v>3.1</v>
      </c>
      <c r="I36" s="6">
        <v>0</v>
      </c>
      <c r="J36" s="6">
        <v>-0.3</v>
      </c>
      <c r="K36" s="6">
        <v>-0.1</v>
      </c>
      <c r="L36" s="6">
        <v>2318</v>
      </c>
      <c r="M36" s="7" t="s">
        <v>236</v>
      </c>
    </row>
    <row r="37" spans="1:13">
      <c r="A37" s="8">
        <v>27</v>
      </c>
      <c r="B37" s="9" t="s">
        <v>235</v>
      </c>
      <c r="C37" s="9">
        <v>2.54</v>
      </c>
      <c r="D37" s="9">
        <v>1</v>
      </c>
      <c r="E37" s="9">
        <v>2411</v>
      </c>
      <c r="F37" s="9">
        <v>0</v>
      </c>
      <c r="G37" s="9">
        <v>0</v>
      </c>
      <c r="H37" s="9">
        <v>3.1</v>
      </c>
      <c r="I37" s="9">
        <v>0</v>
      </c>
      <c r="J37" s="9">
        <v>-0.2</v>
      </c>
      <c r="K37" s="9">
        <v>-0.3</v>
      </c>
      <c r="L37" s="9">
        <v>2318</v>
      </c>
      <c r="M37" s="10" t="s">
        <v>518</v>
      </c>
    </row>
    <row r="38" spans="1:13">
      <c r="A38" s="5">
        <v>28</v>
      </c>
      <c r="B38" s="6" t="s">
        <v>238</v>
      </c>
      <c r="C38" s="6">
        <v>1.54</v>
      </c>
      <c r="D38" s="6">
        <v>1</v>
      </c>
      <c r="E38" s="6">
        <v>2412</v>
      </c>
      <c r="F38" s="6">
        <v>1</v>
      </c>
      <c r="G38" s="6">
        <v>0</v>
      </c>
      <c r="H38" s="6">
        <v>3</v>
      </c>
      <c r="I38" s="6">
        <v>0</v>
      </c>
      <c r="J38" s="6">
        <v>-0.3</v>
      </c>
      <c r="K38" s="6">
        <v>0</v>
      </c>
      <c r="L38" s="6">
        <v>2318</v>
      </c>
      <c r="M38" s="7" t="s">
        <v>519</v>
      </c>
    </row>
    <row r="39" spans="1:13">
      <c r="A39" s="11">
        <v>29</v>
      </c>
      <c r="B39" s="12" t="s">
        <v>238</v>
      </c>
      <c r="C39" s="12">
        <v>0.53</v>
      </c>
      <c r="D39" s="12">
        <v>1</v>
      </c>
      <c r="E39" s="12">
        <v>2412</v>
      </c>
      <c r="F39" s="12">
        <v>0</v>
      </c>
      <c r="G39" s="12">
        <v>0</v>
      </c>
      <c r="H39" s="12">
        <v>1.5</v>
      </c>
      <c r="I39" s="12">
        <v>0</v>
      </c>
      <c r="J39" s="12">
        <v>-0.3</v>
      </c>
      <c r="K39" s="12">
        <v>0</v>
      </c>
      <c r="L39" s="12">
        <v>2318</v>
      </c>
      <c r="M39" s="13" t="s">
        <v>520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AB6B1-9858-480A-895B-3FE5B8CC871C}">
  <dimension ref="A1:P39"/>
  <sheetViews>
    <sheetView topLeftCell="A7" workbookViewId="0">
      <selection activeCell="P14" sqref="P14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162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445</v>
      </c>
      <c r="C4" s="6" t="s">
        <v>13</v>
      </c>
      <c r="D4" s="6" t="s">
        <v>13</v>
      </c>
      <c r="E4" s="6" t="s">
        <v>19</v>
      </c>
      <c r="F4" s="6" t="s">
        <v>445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446</v>
      </c>
      <c r="C5" s="9" t="s">
        <v>13</v>
      </c>
      <c r="D5" s="9" t="s">
        <v>13</v>
      </c>
      <c r="E5" s="9" t="s">
        <v>22</v>
      </c>
      <c r="F5" s="9" t="s">
        <v>447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448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449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O10" s="22" t="s">
        <v>124</v>
      </c>
      <c r="P10">
        <v>10.53</v>
      </c>
    </row>
    <row r="11" spans="1:16">
      <c r="A11" s="8">
        <v>1</v>
      </c>
      <c r="B11" s="9" t="s">
        <v>450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2218</v>
      </c>
      <c r="M11" s="10" t="s">
        <v>451</v>
      </c>
      <c r="O11" s="23" t="s">
        <v>127</v>
      </c>
      <c r="P11">
        <f>SUM(F21:F26)</f>
        <v>2415</v>
      </c>
    </row>
    <row r="12" spans="1:16">
      <c r="A12" s="5">
        <v>2</v>
      </c>
      <c r="B12" s="6" t="s">
        <v>450</v>
      </c>
      <c r="C12" s="6">
        <v>1.01</v>
      </c>
      <c r="D12" s="6">
        <v>1</v>
      </c>
      <c r="E12" s="6">
        <v>2</v>
      </c>
      <c r="F12" s="6">
        <v>2</v>
      </c>
      <c r="G12" s="6">
        <v>0</v>
      </c>
      <c r="H12" s="6">
        <v>2.6</v>
      </c>
      <c r="I12" s="6">
        <v>0</v>
      </c>
      <c r="J12" s="6">
        <v>-0.3</v>
      </c>
      <c r="K12" s="6">
        <v>-0.3</v>
      </c>
      <c r="L12" s="6">
        <v>2218</v>
      </c>
      <c r="M12" s="7" t="s">
        <v>451</v>
      </c>
      <c r="O12" s="23" t="s">
        <v>125</v>
      </c>
      <c r="P12">
        <f>AVERAGE(H21:H25)</f>
        <v>0.4</v>
      </c>
    </row>
    <row r="13" spans="1:16">
      <c r="A13" s="8">
        <v>3</v>
      </c>
      <c r="B13" s="9" t="s">
        <v>453</v>
      </c>
      <c r="C13" s="9">
        <v>2.0099999999999998</v>
      </c>
      <c r="D13" s="9">
        <v>1</v>
      </c>
      <c r="E13" s="9">
        <v>2</v>
      </c>
      <c r="F13" s="9">
        <v>0</v>
      </c>
      <c r="G13" s="9">
        <v>0</v>
      </c>
      <c r="H13" s="9">
        <v>3</v>
      </c>
      <c r="I13" s="9">
        <v>0</v>
      </c>
      <c r="J13" s="9">
        <v>-0.3</v>
      </c>
      <c r="K13" s="9">
        <v>-0.3</v>
      </c>
      <c r="L13" s="9">
        <v>2218</v>
      </c>
      <c r="M13" s="10" t="s">
        <v>454</v>
      </c>
      <c r="O13" s="23" t="s">
        <v>126</v>
      </c>
      <c r="P13">
        <f>AVERAGE(H26:H29)</f>
        <v>0.67500000000000004</v>
      </c>
    </row>
    <row r="14" spans="1:16">
      <c r="A14" s="5">
        <v>4</v>
      </c>
      <c r="B14" s="6" t="s">
        <v>453</v>
      </c>
      <c r="C14" s="6">
        <v>3.04</v>
      </c>
      <c r="D14" s="6">
        <v>1</v>
      </c>
      <c r="E14" s="6">
        <v>2</v>
      </c>
      <c r="F14" s="6">
        <v>0</v>
      </c>
      <c r="G14" s="6">
        <v>0</v>
      </c>
      <c r="H14" s="6">
        <v>2.7</v>
      </c>
      <c r="I14" s="6">
        <v>0</v>
      </c>
      <c r="J14" s="6">
        <v>-0.4</v>
      </c>
      <c r="K14" s="6">
        <v>-0.3</v>
      </c>
      <c r="L14" s="6">
        <v>2218</v>
      </c>
      <c r="M14" s="7" t="s">
        <v>456</v>
      </c>
    </row>
    <row r="15" spans="1:16">
      <c r="A15" s="8">
        <v>5</v>
      </c>
      <c r="B15" s="9" t="s">
        <v>453</v>
      </c>
      <c r="C15" s="9">
        <v>4.05</v>
      </c>
      <c r="D15" s="9">
        <v>1</v>
      </c>
      <c r="E15" s="9">
        <v>3</v>
      </c>
      <c r="F15" s="9">
        <v>1</v>
      </c>
      <c r="G15" s="9">
        <v>0</v>
      </c>
      <c r="H15" s="9">
        <v>2.8</v>
      </c>
      <c r="I15" s="9">
        <v>0</v>
      </c>
      <c r="J15" s="9">
        <v>-0.4</v>
      </c>
      <c r="K15" s="9">
        <v>-0.3</v>
      </c>
      <c r="L15" s="9">
        <v>2218</v>
      </c>
      <c r="M15" s="10" t="s">
        <v>457</v>
      </c>
    </row>
    <row r="16" spans="1:16">
      <c r="A16" s="5">
        <v>6</v>
      </c>
      <c r="B16" s="6" t="s">
        <v>133</v>
      </c>
      <c r="C16" s="6">
        <v>5.0599999999999996</v>
      </c>
      <c r="D16" s="6">
        <v>1</v>
      </c>
      <c r="E16" s="6">
        <v>3</v>
      </c>
      <c r="F16" s="6">
        <v>0</v>
      </c>
      <c r="G16" s="6">
        <v>0</v>
      </c>
      <c r="H16" s="6">
        <v>3.2</v>
      </c>
      <c r="I16" s="6">
        <v>0</v>
      </c>
      <c r="J16" s="6">
        <v>-0.3</v>
      </c>
      <c r="K16" s="6">
        <v>-0.3</v>
      </c>
      <c r="L16" s="6">
        <v>2218</v>
      </c>
      <c r="M16" s="7" t="s">
        <v>458</v>
      </c>
    </row>
    <row r="17" spans="1:13">
      <c r="A17" s="8">
        <v>7</v>
      </c>
      <c r="B17" s="9" t="s">
        <v>133</v>
      </c>
      <c r="C17" s="9">
        <v>6.09</v>
      </c>
      <c r="D17" s="9">
        <v>1</v>
      </c>
      <c r="E17" s="9">
        <v>3</v>
      </c>
      <c r="F17" s="9">
        <v>0</v>
      </c>
      <c r="G17" s="9">
        <v>0</v>
      </c>
      <c r="H17" s="9">
        <v>3.4</v>
      </c>
      <c r="I17" s="9">
        <v>0</v>
      </c>
      <c r="J17" s="9">
        <v>-0.4</v>
      </c>
      <c r="K17" s="9">
        <v>-0.3</v>
      </c>
      <c r="L17" s="9">
        <v>2218</v>
      </c>
      <c r="M17" s="10" t="s">
        <v>459</v>
      </c>
    </row>
    <row r="18" spans="1:13">
      <c r="A18" s="5">
        <v>8</v>
      </c>
      <c r="B18" s="6" t="s">
        <v>135</v>
      </c>
      <c r="C18" s="6">
        <v>7.12</v>
      </c>
      <c r="D18" s="6">
        <v>1</v>
      </c>
      <c r="E18" s="6">
        <v>4</v>
      </c>
      <c r="F18" s="6">
        <v>1</v>
      </c>
      <c r="G18" s="6">
        <v>0</v>
      </c>
      <c r="H18" s="6">
        <v>2.9</v>
      </c>
      <c r="I18" s="6">
        <v>0</v>
      </c>
      <c r="J18" s="6">
        <v>-0.3</v>
      </c>
      <c r="K18" s="6">
        <v>-0.3</v>
      </c>
      <c r="L18" s="6">
        <v>2218</v>
      </c>
      <c r="M18" s="7" t="s">
        <v>460</v>
      </c>
    </row>
    <row r="19" spans="1:13">
      <c r="A19" s="8">
        <v>9</v>
      </c>
      <c r="B19" s="9" t="s">
        <v>135</v>
      </c>
      <c r="C19" s="9">
        <v>8.1199999999999992</v>
      </c>
      <c r="D19" s="9">
        <v>1</v>
      </c>
      <c r="E19" s="9">
        <v>4</v>
      </c>
      <c r="F19" s="9">
        <v>0</v>
      </c>
      <c r="G19" s="9">
        <v>24</v>
      </c>
      <c r="H19" s="9">
        <v>1.3</v>
      </c>
      <c r="I19" s="9">
        <v>85</v>
      </c>
      <c r="J19" s="9">
        <v>-0.3</v>
      </c>
      <c r="K19" s="9">
        <v>-0.3</v>
      </c>
      <c r="L19" s="9">
        <v>2218</v>
      </c>
      <c r="M19" s="10" t="s">
        <v>461</v>
      </c>
    </row>
    <row r="20" spans="1:13">
      <c r="A20" s="5">
        <v>10</v>
      </c>
      <c r="B20" s="6" t="s">
        <v>145</v>
      </c>
      <c r="C20" s="6">
        <v>9.1199999999999992</v>
      </c>
      <c r="D20" s="6">
        <v>1</v>
      </c>
      <c r="E20" s="6">
        <v>7</v>
      </c>
      <c r="F20" s="6">
        <v>3</v>
      </c>
      <c r="G20" s="6">
        <v>24</v>
      </c>
      <c r="H20" s="6">
        <v>0.4</v>
      </c>
      <c r="I20" s="6">
        <v>84</v>
      </c>
      <c r="J20" s="6">
        <v>-0.3</v>
      </c>
      <c r="K20" s="6">
        <v>-0.3</v>
      </c>
      <c r="L20" s="6">
        <v>2218</v>
      </c>
      <c r="M20" s="7" t="s">
        <v>462</v>
      </c>
    </row>
    <row r="21" spans="1:13">
      <c r="A21" s="15">
        <v>11</v>
      </c>
      <c r="B21" s="16" t="s">
        <v>149</v>
      </c>
      <c r="C21" s="16">
        <v>10.119999999999999</v>
      </c>
      <c r="D21" s="16">
        <v>0</v>
      </c>
      <c r="E21" s="16">
        <v>9</v>
      </c>
      <c r="F21" s="16">
        <v>2</v>
      </c>
      <c r="G21" s="16">
        <v>24</v>
      </c>
      <c r="H21" s="16">
        <v>0.4</v>
      </c>
      <c r="I21" s="16">
        <v>84</v>
      </c>
      <c r="J21" s="16">
        <v>-0.4</v>
      </c>
      <c r="K21" s="16">
        <v>-0.3</v>
      </c>
      <c r="L21" s="16">
        <v>2218</v>
      </c>
      <c r="M21" s="17" t="s">
        <v>463</v>
      </c>
    </row>
    <row r="22" spans="1:13">
      <c r="A22" s="5">
        <v>12</v>
      </c>
      <c r="B22" s="6" t="s">
        <v>153</v>
      </c>
      <c r="C22" s="6">
        <v>11.12</v>
      </c>
      <c r="D22" s="6">
        <v>289</v>
      </c>
      <c r="E22" s="6">
        <v>514</v>
      </c>
      <c r="F22" s="6">
        <v>505</v>
      </c>
      <c r="G22" s="6">
        <v>24</v>
      </c>
      <c r="H22" s="6">
        <v>0.4</v>
      </c>
      <c r="I22" s="6">
        <v>88</v>
      </c>
      <c r="J22" s="6">
        <v>-0.3</v>
      </c>
      <c r="K22" s="6">
        <v>-0.3</v>
      </c>
      <c r="L22" s="6">
        <v>2218</v>
      </c>
      <c r="M22" s="7" t="s">
        <v>464</v>
      </c>
    </row>
    <row r="23" spans="1:13">
      <c r="A23" s="8">
        <v>13</v>
      </c>
      <c r="B23" s="9" t="s">
        <v>161</v>
      </c>
      <c r="C23" s="9">
        <v>12.12</v>
      </c>
      <c r="D23" s="9">
        <v>286</v>
      </c>
      <c r="E23" s="9">
        <v>1279</v>
      </c>
      <c r="F23" s="9">
        <v>765</v>
      </c>
      <c r="G23" s="9">
        <v>24</v>
      </c>
      <c r="H23" s="9">
        <v>0.4</v>
      </c>
      <c r="I23" s="9">
        <v>93</v>
      </c>
      <c r="J23" s="9">
        <v>-0.3</v>
      </c>
      <c r="K23" s="9">
        <v>-0.3</v>
      </c>
      <c r="L23" s="9">
        <v>2218</v>
      </c>
      <c r="M23" s="10" t="s">
        <v>465</v>
      </c>
    </row>
    <row r="24" spans="1:13">
      <c r="A24" s="5">
        <v>14</v>
      </c>
      <c r="B24" s="6" t="s">
        <v>466</v>
      </c>
      <c r="C24" s="6">
        <v>13.12</v>
      </c>
      <c r="D24" s="6">
        <v>292</v>
      </c>
      <c r="E24" s="6">
        <v>2060</v>
      </c>
      <c r="F24" s="6">
        <v>781</v>
      </c>
      <c r="G24" s="6">
        <v>24</v>
      </c>
      <c r="H24" s="6">
        <v>0.4</v>
      </c>
      <c r="I24" s="6">
        <v>96</v>
      </c>
      <c r="J24" s="6">
        <v>-0.3</v>
      </c>
      <c r="K24" s="6">
        <v>-0.3</v>
      </c>
      <c r="L24" s="6">
        <v>2218</v>
      </c>
      <c r="M24" s="7" t="s">
        <v>467</v>
      </c>
    </row>
    <row r="25" spans="1:13">
      <c r="A25" s="8">
        <v>15</v>
      </c>
      <c r="B25" s="9" t="s">
        <v>172</v>
      </c>
      <c r="C25" s="9">
        <v>13.53</v>
      </c>
      <c r="D25" s="9">
        <v>291</v>
      </c>
      <c r="E25" s="9">
        <v>2383</v>
      </c>
      <c r="F25" s="9">
        <v>323</v>
      </c>
      <c r="G25" s="9">
        <v>24</v>
      </c>
      <c r="H25" s="9">
        <v>0.4</v>
      </c>
      <c r="I25" s="9">
        <v>100</v>
      </c>
      <c r="J25" s="9">
        <v>-0.3</v>
      </c>
      <c r="K25" s="9">
        <v>-0.2</v>
      </c>
      <c r="L25" s="9">
        <v>2218</v>
      </c>
      <c r="M25" s="10" t="s">
        <v>174</v>
      </c>
    </row>
    <row r="26" spans="1:13">
      <c r="A26" s="5">
        <v>16</v>
      </c>
      <c r="B26" s="6" t="s">
        <v>178</v>
      </c>
      <c r="C26" s="6">
        <v>12.53</v>
      </c>
      <c r="D26" s="6">
        <v>1</v>
      </c>
      <c r="E26" s="6">
        <v>2422</v>
      </c>
      <c r="F26" s="6">
        <v>39</v>
      </c>
      <c r="G26" s="6">
        <v>24</v>
      </c>
      <c r="H26" s="6">
        <v>0.9</v>
      </c>
      <c r="I26" s="6">
        <v>102</v>
      </c>
      <c r="J26" s="6">
        <v>-0.4</v>
      </c>
      <c r="K26" s="6">
        <v>-0.3</v>
      </c>
      <c r="L26" s="6">
        <v>2218</v>
      </c>
      <c r="M26" s="7" t="s">
        <v>468</v>
      </c>
    </row>
    <row r="27" spans="1:13">
      <c r="A27" s="8">
        <v>17</v>
      </c>
      <c r="B27" s="9" t="s">
        <v>183</v>
      </c>
      <c r="C27" s="9">
        <v>11.53</v>
      </c>
      <c r="D27" s="9">
        <v>1</v>
      </c>
      <c r="E27" s="9">
        <v>2423</v>
      </c>
      <c r="F27" s="9">
        <v>1</v>
      </c>
      <c r="G27" s="9">
        <v>24</v>
      </c>
      <c r="H27" s="9">
        <v>0.9</v>
      </c>
      <c r="I27" s="9">
        <v>87</v>
      </c>
      <c r="J27" s="9">
        <v>-0.3</v>
      </c>
      <c r="K27" s="9">
        <v>-0.3</v>
      </c>
      <c r="L27" s="9">
        <v>2218</v>
      </c>
      <c r="M27" s="10" t="s">
        <v>469</v>
      </c>
    </row>
    <row r="28" spans="1:13">
      <c r="A28" s="5">
        <v>18</v>
      </c>
      <c r="B28" s="6" t="s">
        <v>187</v>
      </c>
      <c r="C28" s="6">
        <v>11.02</v>
      </c>
      <c r="D28" s="6">
        <v>1</v>
      </c>
      <c r="E28" s="6">
        <v>2424</v>
      </c>
      <c r="F28" s="6">
        <v>1</v>
      </c>
      <c r="G28" s="6">
        <v>24</v>
      </c>
      <c r="H28" s="6">
        <v>0</v>
      </c>
      <c r="I28" s="6">
        <v>86</v>
      </c>
      <c r="J28" s="6">
        <v>-0.3</v>
      </c>
      <c r="K28" s="6">
        <v>-0.3</v>
      </c>
      <c r="L28" s="6">
        <v>2218</v>
      </c>
      <c r="M28" s="7" t="s">
        <v>470</v>
      </c>
    </row>
    <row r="29" spans="1:13">
      <c r="A29" s="8">
        <v>19</v>
      </c>
      <c r="B29" s="9" t="s">
        <v>191</v>
      </c>
      <c r="C29" s="9">
        <v>10.53</v>
      </c>
      <c r="D29" s="9">
        <v>1</v>
      </c>
      <c r="E29" s="9">
        <v>2425</v>
      </c>
      <c r="F29" s="9">
        <v>1</v>
      </c>
      <c r="G29" s="9">
        <v>24</v>
      </c>
      <c r="H29" s="9">
        <v>0.9</v>
      </c>
      <c r="I29" s="9">
        <v>84</v>
      </c>
      <c r="J29" s="9">
        <v>-0.4</v>
      </c>
      <c r="K29" s="9">
        <v>-0.3</v>
      </c>
      <c r="L29" s="9">
        <v>2218</v>
      </c>
      <c r="M29" s="10" t="s">
        <v>471</v>
      </c>
    </row>
    <row r="30" spans="1:13">
      <c r="A30" s="5">
        <v>20</v>
      </c>
      <c r="B30" s="6" t="s">
        <v>191</v>
      </c>
      <c r="C30" s="6">
        <v>9.52</v>
      </c>
      <c r="D30" s="6">
        <v>1</v>
      </c>
      <c r="E30" s="6">
        <v>2425</v>
      </c>
      <c r="F30" s="6">
        <v>0</v>
      </c>
      <c r="G30" s="6">
        <v>0</v>
      </c>
      <c r="H30" s="6">
        <v>2.9</v>
      </c>
      <c r="I30" s="6">
        <v>0</v>
      </c>
      <c r="J30" s="6">
        <v>-0.3</v>
      </c>
      <c r="K30" s="6">
        <v>-0.2</v>
      </c>
      <c r="L30" s="6">
        <v>2218</v>
      </c>
      <c r="M30" s="7" t="s">
        <v>195</v>
      </c>
    </row>
    <row r="31" spans="1:13">
      <c r="A31" s="8">
        <v>21</v>
      </c>
      <c r="B31" s="9" t="s">
        <v>134</v>
      </c>
      <c r="C31" s="9">
        <v>8.52</v>
      </c>
      <c r="D31" s="9">
        <v>1</v>
      </c>
      <c r="E31" s="9">
        <v>2425</v>
      </c>
      <c r="F31" s="9">
        <v>0</v>
      </c>
      <c r="G31" s="9">
        <v>0</v>
      </c>
      <c r="H31" s="9">
        <v>2.9</v>
      </c>
      <c r="I31" s="9">
        <v>0</v>
      </c>
      <c r="J31" s="9">
        <v>-0.4</v>
      </c>
      <c r="K31" s="9">
        <v>-0.3</v>
      </c>
      <c r="L31" s="9">
        <v>2218</v>
      </c>
      <c r="M31" s="10" t="s">
        <v>472</v>
      </c>
    </row>
    <row r="32" spans="1:13">
      <c r="A32" s="5">
        <v>22</v>
      </c>
      <c r="B32" s="6" t="s">
        <v>134</v>
      </c>
      <c r="C32" s="6">
        <v>7.52</v>
      </c>
      <c r="D32" s="6">
        <v>1</v>
      </c>
      <c r="E32" s="6">
        <v>2426</v>
      </c>
      <c r="F32" s="6">
        <v>1</v>
      </c>
      <c r="G32" s="6">
        <v>0</v>
      </c>
      <c r="H32" s="6">
        <v>3</v>
      </c>
      <c r="I32" s="6">
        <v>0</v>
      </c>
      <c r="J32" s="6">
        <v>-0.3</v>
      </c>
      <c r="K32" s="6">
        <v>-0.3</v>
      </c>
      <c r="L32" s="6">
        <v>2218</v>
      </c>
      <c r="M32" s="7" t="s">
        <v>473</v>
      </c>
    </row>
    <row r="33" spans="1:13">
      <c r="A33" s="8">
        <v>23</v>
      </c>
      <c r="B33" s="9" t="s">
        <v>134</v>
      </c>
      <c r="C33" s="9">
        <v>6.5</v>
      </c>
      <c r="D33" s="9">
        <v>1</v>
      </c>
      <c r="E33" s="9">
        <v>2426</v>
      </c>
      <c r="F33" s="9">
        <v>0</v>
      </c>
      <c r="G33" s="9">
        <v>0</v>
      </c>
      <c r="H33" s="9">
        <v>3.1</v>
      </c>
      <c r="I33" s="9">
        <v>0</v>
      </c>
      <c r="J33" s="9">
        <v>-0.4</v>
      </c>
      <c r="K33" s="9">
        <v>-0.3</v>
      </c>
      <c r="L33" s="9">
        <v>2218</v>
      </c>
      <c r="M33" s="10" t="s">
        <v>474</v>
      </c>
    </row>
    <row r="34" spans="1:13">
      <c r="A34" s="5">
        <v>24</v>
      </c>
      <c r="B34" s="6" t="s">
        <v>475</v>
      </c>
      <c r="C34" s="6">
        <v>5.48</v>
      </c>
      <c r="D34" s="6">
        <v>1</v>
      </c>
      <c r="E34" s="6">
        <v>2426</v>
      </c>
      <c r="F34" s="6">
        <v>0</v>
      </c>
      <c r="G34" s="6">
        <v>0</v>
      </c>
      <c r="H34" s="6">
        <v>3.1</v>
      </c>
      <c r="I34" s="6">
        <v>0</v>
      </c>
      <c r="J34" s="6">
        <v>-0.4</v>
      </c>
      <c r="K34" s="6">
        <v>-0.3</v>
      </c>
      <c r="L34" s="6">
        <v>2218</v>
      </c>
      <c r="M34" s="7" t="s">
        <v>476</v>
      </c>
    </row>
    <row r="35" spans="1:13">
      <c r="A35" s="8">
        <v>25</v>
      </c>
      <c r="B35" s="9" t="s">
        <v>475</v>
      </c>
      <c r="C35" s="9">
        <v>4.45</v>
      </c>
      <c r="D35" s="9">
        <v>1</v>
      </c>
      <c r="E35" s="9">
        <v>2427</v>
      </c>
      <c r="F35" s="9">
        <v>1</v>
      </c>
      <c r="G35" s="9">
        <v>0</v>
      </c>
      <c r="H35" s="9">
        <v>3</v>
      </c>
      <c r="I35" s="9">
        <v>0</v>
      </c>
      <c r="J35" s="9">
        <v>-0.4</v>
      </c>
      <c r="K35" s="9">
        <v>-0.3</v>
      </c>
      <c r="L35" s="9">
        <v>2218</v>
      </c>
      <c r="M35" s="10" t="s">
        <v>477</v>
      </c>
    </row>
    <row r="36" spans="1:13">
      <c r="A36" s="5">
        <v>26</v>
      </c>
      <c r="B36" s="6" t="s">
        <v>475</v>
      </c>
      <c r="C36" s="6">
        <v>3.44</v>
      </c>
      <c r="D36" s="6">
        <v>1</v>
      </c>
      <c r="E36" s="6">
        <v>2427</v>
      </c>
      <c r="F36" s="6">
        <v>0</v>
      </c>
      <c r="G36" s="6">
        <v>0</v>
      </c>
      <c r="H36" s="6">
        <v>3</v>
      </c>
      <c r="I36" s="6">
        <v>0</v>
      </c>
      <c r="J36" s="6">
        <v>-0.3</v>
      </c>
      <c r="K36" s="6">
        <v>-0.3</v>
      </c>
      <c r="L36" s="6">
        <v>2218</v>
      </c>
      <c r="M36" s="7" t="s">
        <v>478</v>
      </c>
    </row>
    <row r="37" spans="1:13">
      <c r="A37" s="8">
        <v>27</v>
      </c>
      <c r="B37" s="9" t="s">
        <v>479</v>
      </c>
      <c r="C37" s="9">
        <v>2.4300000000000002</v>
      </c>
      <c r="D37" s="9">
        <v>1</v>
      </c>
      <c r="E37" s="9">
        <v>2427</v>
      </c>
      <c r="F37" s="9">
        <v>0</v>
      </c>
      <c r="G37" s="9">
        <v>0</v>
      </c>
      <c r="H37" s="9">
        <v>3.1</v>
      </c>
      <c r="I37" s="9">
        <v>0</v>
      </c>
      <c r="J37" s="9">
        <v>-0.3</v>
      </c>
      <c r="K37" s="9">
        <v>-0.2</v>
      </c>
      <c r="L37" s="9">
        <v>2218</v>
      </c>
      <c r="M37" s="10" t="s">
        <v>480</v>
      </c>
    </row>
    <row r="38" spans="1:13">
      <c r="A38" s="5">
        <v>28</v>
      </c>
      <c r="B38" s="6" t="s">
        <v>479</v>
      </c>
      <c r="C38" s="6">
        <v>1.42</v>
      </c>
      <c r="D38" s="6">
        <v>1</v>
      </c>
      <c r="E38" s="6">
        <v>2428</v>
      </c>
      <c r="F38" s="6">
        <v>1</v>
      </c>
      <c r="G38" s="6">
        <v>1.2</v>
      </c>
      <c r="H38" s="6">
        <v>1.8</v>
      </c>
      <c r="I38" s="6">
        <v>253</v>
      </c>
      <c r="J38" s="6">
        <v>-0.3</v>
      </c>
      <c r="K38" s="6">
        <v>-0.3</v>
      </c>
      <c r="L38" s="6">
        <v>2218</v>
      </c>
      <c r="M38" s="7" t="s">
        <v>481</v>
      </c>
    </row>
    <row r="39" spans="1:13">
      <c r="A39" s="11">
        <v>29</v>
      </c>
      <c r="B39" s="12" t="s">
        <v>449</v>
      </c>
      <c r="C39" s="12">
        <v>0.41</v>
      </c>
      <c r="D39" s="12">
        <v>1</v>
      </c>
      <c r="E39" s="12">
        <v>2428</v>
      </c>
      <c r="F39" s="12">
        <v>0</v>
      </c>
      <c r="G39" s="12">
        <v>0</v>
      </c>
      <c r="H39" s="12">
        <v>1.7</v>
      </c>
      <c r="I39" s="12">
        <v>0</v>
      </c>
      <c r="J39" s="12">
        <v>-0.4</v>
      </c>
      <c r="K39" s="12">
        <v>-0.3</v>
      </c>
      <c r="L39" s="12">
        <v>2218</v>
      </c>
      <c r="M39" s="13" t="s">
        <v>482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F803A-0524-4FB1-B993-017908FE93C0}">
  <dimension ref="A1:P39"/>
  <sheetViews>
    <sheetView zoomScale="85" zoomScaleNormal="85" workbookViewId="0">
      <selection activeCell="P15" sqref="P15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395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396</v>
      </c>
      <c r="C4" s="6" t="s">
        <v>13</v>
      </c>
      <c r="D4" s="6" t="s">
        <v>13</v>
      </c>
      <c r="E4" s="6" t="s">
        <v>19</v>
      </c>
      <c r="F4" s="6" t="s">
        <v>298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397</v>
      </c>
      <c r="C5" s="9" t="s">
        <v>13</v>
      </c>
      <c r="D5" s="9" t="s">
        <v>13</v>
      </c>
      <c r="E5" s="9" t="s">
        <v>22</v>
      </c>
      <c r="F5" s="9" t="s">
        <v>398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399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400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</row>
    <row r="11" spans="1:16">
      <c r="A11" s="8">
        <v>1</v>
      </c>
      <c r="B11" s="9" t="s">
        <v>401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2018</v>
      </c>
      <c r="M11" s="10" t="s">
        <v>402</v>
      </c>
      <c r="O11" s="22" t="s">
        <v>124</v>
      </c>
      <c r="P11">
        <v>10.84</v>
      </c>
    </row>
    <row r="12" spans="1:16">
      <c r="A12" s="5">
        <v>2</v>
      </c>
      <c r="B12" s="6" t="s">
        <v>401</v>
      </c>
      <c r="C12" s="6">
        <v>1</v>
      </c>
      <c r="D12" s="6">
        <v>0</v>
      </c>
      <c r="E12" s="6">
        <v>230</v>
      </c>
      <c r="F12" s="6">
        <v>230</v>
      </c>
      <c r="G12" s="6">
        <v>0</v>
      </c>
      <c r="H12" s="6">
        <v>3.1</v>
      </c>
      <c r="I12" s="6">
        <v>0</v>
      </c>
      <c r="J12" s="6">
        <v>0.6</v>
      </c>
      <c r="K12" s="6">
        <v>-0.2</v>
      </c>
      <c r="L12" s="6">
        <v>2018</v>
      </c>
      <c r="M12" s="7" t="s">
        <v>402</v>
      </c>
      <c r="O12" s="23" t="s">
        <v>127</v>
      </c>
      <c r="P12">
        <f>SUM(F22:F26)</f>
        <v>2437</v>
      </c>
    </row>
    <row r="13" spans="1:16">
      <c r="A13" s="8">
        <v>3</v>
      </c>
      <c r="B13" s="9" t="s">
        <v>403</v>
      </c>
      <c r="C13" s="9">
        <v>2.02</v>
      </c>
      <c r="D13" s="9">
        <v>0</v>
      </c>
      <c r="E13" s="9">
        <v>231</v>
      </c>
      <c r="F13" s="9">
        <v>1</v>
      </c>
      <c r="G13" s="9">
        <v>0</v>
      </c>
      <c r="H13" s="9">
        <v>3.2</v>
      </c>
      <c r="I13" s="9">
        <v>0</v>
      </c>
      <c r="J13" s="9">
        <v>0.6</v>
      </c>
      <c r="K13" s="9">
        <v>-0.1</v>
      </c>
      <c r="L13" s="9">
        <v>2018</v>
      </c>
      <c r="M13" s="10" t="s">
        <v>404</v>
      </c>
      <c r="O13" s="23" t="s">
        <v>125</v>
      </c>
      <c r="P13">
        <f>AVERAGE(H21:H25)</f>
        <v>0.87999999999999989</v>
      </c>
    </row>
    <row r="14" spans="1:16">
      <c r="A14" s="5">
        <v>4</v>
      </c>
      <c r="B14" s="6" t="s">
        <v>403</v>
      </c>
      <c r="C14" s="6">
        <v>3.05</v>
      </c>
      <c r="D14" s="6">
        <v>1</v>
      </c>
      <c r="E14" s="6">
        <v>231</v>
      </c>
      <c r="F14" s="6">
        <v>0</v>
      </c>
      <c r="G14" s="6">
        <v>0</v>
      </c>
      <c r="H14" s="6">
        <v>3.2</v>
      </c>
      <c r="I14" s="6">
        <v>0</v>
      </c>
      <c r="J14" s="6">
        <v>0.6</v>
      </c>
      <c r="K14" s="6">
        <v>-0.1</v>
      </c>
      <c r="L14" s="6">
        <v>2018</v>
      </c>
      <c r="M14" s="7" t="s">
        <v>405</v>
      </c>
      <c r="O14" s="23" t="s">
        <v>126</v>
      </c>
      <c r="P14">
        <f>AVERAGE(H26:H29)</f>
        <v>0.75</v>
      </c>
    </row>
    <row r="15" spans="1:16">
      <c r="A15" s="8">
        <v>5</v>
      </c>
      <c r="B15" s="9" t="s">
        <v>403</v>
      </c>
      <c r="C15" s="9">
        <v>4.05</v>
      </c>
      <c r="D15" s="9">
        <v>1</v>
      </c>
      <c r="E15" s="9">
        <v>231</v>
      </c>
      <c r="F15" s="9">
        <v>0</v>
      </c>
      <c r="G15" s="9">
        <v>0</v>
      </c>
      <c r="H15" s="9">
        <v>3</v>
      </c>
      <c r="I15" s="9">
        <v>0</v>
      </c>
      <c r="J15" s="9">
        <v>0.7</v>
      </c>
      <c r="K15" s="9">
        <v>-0.1</v>
      </c>
      <c r="L15" s="9">
        <v>2018</v>
      </c>
      <c r="M15" s="10" t="s">
        <v>406</v>
      </c>
    </row>
    <row r="16" spans="1:16">
      <c r="A16" s="5">
        <v>6</v>
      </c>
      <c r="B16" s="6" t="s">
        <v>407</v>
      </c>
      <c r="C16" s="6">
        <v>5.0599999999999996</v>
      </c>
      <c r="D16" s="6">
        <v>0</v>
      </c>
      <c r="E16" s="6">
        <v>231</v>
      </c>
      <c r="F16" s="6">
        <v>0</v>
      </c>
      <c r="G16" s="6">
        <v>0</v>
      </c>
      <c r="H16" s="6">
        <v>2.9</v>
      </c>
      <c r="I16" s="6">
        <v>0</v>
      </c>
      <c r="J16" s="6">
        <v>0.8</v>
      </c>
      <c r="K16" s="6">
        <v>-0.1</v>
      </c>
      <c r="L16" s="6">
        <v>2018</v>
      </c>
      <c r="M16" s="7" t="s">
        <v>408</v>
      </c>
    </row>
    <row r="17" spans="1:13">
      <c r="A17" s="8">
        <v>7</v>
      </c>
      <c r="B17" s="9" t="s">
        <v>407</v>
      </c>
      <c r="C17" s="9">
        <v>6.07</v>
      </c>
      <c r="D17" s="9">
        <v>1</v>
      </c>
      <c r="E17" s="9">
        <v>232</v>
      </c>
      <c r="F17" s="9">
        <v>1</v>
      </c>
      <c r="G17" s="9">
        <v>24</v>
      </c>
      <c r="H17" s="9">
        <v>3</v>
      </c>
      <c r="I17" s="9">
        <v>86</v>
      </c>
      <c r="J17" s="9">
        <v>0.6</v>
      </c>
      <c r="K17" s="9">
        <v>-0.1</v>
      </c>
      <c r="L17" s="9">
        <v>2018</v>
      </c>
      <c r="M17" s="10" t="s">
        <v>409</v>
      </c>
    </row>
    <row r="18" spans="1:13">
      <c r="A18" s="5">
        <v>8</v>
      </c>
      <c r="B18" s="6" t="s">
        <v>407</v>
      </c>
      <c r="C18" s="6">
        <v>7.08</v>
      </c>
      <c r="D18" s="6">
        <v>1</v>
      </c>
      <c r="E18" s="6">
        <v>232</v>
      </c>
      <c r="F18" s="6">
        <v>0</v>
      </c>
      <c r="G18" s="6">
        <v>24</v>
      </c>
      <c r="H18" s="6">
        <v>3</v>
      </c>
      <c r="I18" s="6">
        <v>86</v>
      </c>
      <c r="J18" s="6">
        <v>0.6</v>
      </c>
      <c r="K18" s="6">
        <v>-0.2</v>
      </c>
      <c r="L18" s="6">
        <v>2018</v>
      </c>
      <c r="M18" s="7" t="s">
        <v>411</v>
      </c>
    </row>
    <row r="19" spans="1:13">
      <c r="A19" s="8">
        <v>9</v>
      </c>
      <c r="B19" s="9" t="s">
        <v>412</v>
      </c>
      <c r="C19" s="9">
        <v>8.09</v>
      </c>
      <c r="D19" s="9">
        <v>1</v>
      </c>
      <c r="E19" s="9">
        <v>232</v>
      </c>
      <c r="F19" s="9">
        <v>0</v>
      </c>
      <c r="G19" s="9">
        <v>24</v>
      </c>
      <c r="H19" s="9">
        <v>3.1</v>
      </c>
      <c r="I19" s="9">
        <v>86</v>
      </c>
      <c r="J19" s="9">
        <v>0.7</v>
      </c>
      <c r="K19" s="9">
        <v>-0.1</v>
      </c>
      <c r="L19" s="9">
        <v>2018</v>
      </c>
      <c r="M19" s="10" t="s">
        <v>413</v>
      </c>
    </row>
    <row r="20" spans="1:13">
      <c r="A20" s="5">
        <v>10</v>
      </c>
      <c r="B20" s="6" t="s">
        <v>412</v>
      </c>
      <c r="C20" s="6">
        <v>9.09</v>
      </c>
      <c r="D20" s="6">
        <v>0</v>
      </c>
      <c r="E20" s="6">
        <v>232</v>
      </c>
      <c r="F20" s="6">
        <v>0</v>
      </c>
      <c r="G20" s="6">
        <v>24</v>
      </c>
      <c r="H20" s="6">
        <v>3</v>
      </c>
      <c r="I20" s="6">
        <v>86</v>
      </c>
      <c r="J20" s="6">
        <v>0.6</v>
      </c>
      <c r="K20" s="6">
        <v>-0.1</v>
      </c>
      <c r="L20" s="6">
        <v>2018</v>
      </c>
      <c r="M20" s="7" t="s">
        <v>414</v>
      </c>
    </row>
    <row r="21" spans="1:13">
      <c r="A21" s="15">
        <v>11</v>
      </c>
      <c r="B21" s="16" t="s">
        <v>412</v>
      </c>
      <c r="C21" s="16">
        <v>10.1</v>
      </c>
      <c r="D21" s="16">
        <v>1</v>
      </c>
      <c r="E21" s="16">
        <v>233</v>
      </c>
      <c r="F21" s="16">
        <v>1</v>
      </c>
      <c r="G21" s="16">
        <v>24</v>
      </c>
      <c r="H21" s="16">
        <v>2.9</v>
      </c>
      <c r="I21" s="16">
        <v>86</v>
      </c>
      <c r="J21" s="16">
        <v>0.6</v>
      </c>
      <c r="K21" s="16">
        <v>-0.1</v>
      </c>
      <c r="L21" s="16">
        <v>2018</v>
      </c>
      <c r="M21" s="17" t="s">
        <v>415</v>
      </c>
    </row>
    <row r="22" spans="1:13">
      <c r="A22" s="5">
        <v>12</v>
      </c>
      <c r="B22" s="6" t="s">
        <v>416</v>
      </c>
      <c r="C22" s="6">
        <v>11.1</v>
      </c>
      <c r="D22" s="6">
        <v>285</v>
      </c>
      <c r="E22" s="6">
        <v>538</v>
      </c>
      <c r="F22" s="6">
        <v>305</v>
      </c>
      <c r="G22" s="6">
        <v>24</v>
      </c>
      <c r="H22" s="6">
        <v>0.4</v>
      </c>
      <c r="I22" s="6">
        <v>88</v>
      </c>
      <c r="J22" s="6">
        <v>0.6</v>
      </c>
      <c r="K22" s="6">
        <v>0</v>
      </c>
      <c r="L22" s="6">
        <v>2018</v>
      </c>
      <c r="M22" s="7" t="s">
        <v>417</v>
      </c>
    </row>
    <row r="23" spans="1:13">
      <c r="A23" s="8">
        <v>13</v>
      </c>
      <c r="B23" s="9" t="s">
        <v>418</v>
      </c>
      <c r="C23" s="9">
        <v>12.1</v>
      </c>
      <c r="D23" s="9">
        <v>281</v>
      </c>
      <c r="E23" s="9">
        <v>1324</v>
      </c>
      <c r="F23" s="9">
        <v>786</v>
      </c>
      <c r="G23" s="9">
        <v>24</v>
      </c>
      <c r="H23" s="9">
        <v>0.3</v>
      </c>
      <c r="I23" s="9">
        <v>90</v>
      </c>
      <c r="J23" s="9">
        <v>0.7</v>
      </c>
      <c r="K23" s="9">
        <v>-0.1</v>
      </c>
      <c r="L23" s="9">
        <v>2018</v>
      </c>
      <c r="M23" s="10" t="s">
        <v>419</v>
      </c>
    </row>
    <row r="24" spans="1:13">
      <c r="A24" s="5">
        <v>14</v>
      </c>
      <c r="B24" s="6" t="s">
        <v>420</v>
      </c>
      <c r="C24" s="6">
        <v>13.1</v>
      </c>
      <c r="D24" s="6">
        <v>281</v>
      </c>
      <c r="E24" s="6">
        <v>2013</v>
      </c>
      <c r="F24" s="6">
        <v>689</v>
      </c>
      <c r="G24" s="6">
        <v>24</v>
      </c>
      <c r="H24" s="6">
        <v>0.4</v>
      </c>
      <c r="I24" s="6">
        <v>93</v>
      </c>
      <c r="J24" s="6">
        <v>0.6</v>
      </c>
      <c r="K24" s="6">
        <v>-0.1</v>
      </c>
      <c r="L24" s="6">
        <v>2018</v>
      </c>
      <c r="M24" s="7" t="s">
        <v>421</v>
      </c>
    </row>
    <row r="25" spans="1:13">
      <c r="A25" s="8">
        <v>15</v>
      </c>
      <c r="B25" s="9" t="s">
        <v>422</v>
      </c>
      <c r="C25" s="9">
        <v>13.84</v>
      </c>
      <c r="D25" s="9">
        <v>282</v>
      </c>
      <c r="E25" s="9">
        <v>2581</v>
      </c>
      <c r="F25" s="9">
        <v>568</v>
      </c>
      <c r="G25" s="9">
        <v>24</v>
      </c>
      <c r="H25" s="9">
        <v>0.4</v>
      </c>
      <c r="I25" s="9">
        <v>97</v>
      </c>
      <c r="J25" s="9">
        <v>0.6</v>
      </c>
      <c r="K25" s="9">
        <v>-0.1</v>
      </c>
      <c r="L25" s="9">
        <v>2018</v>
      </c>
      <c r="M25" s="10" t="s">
        <v>423</v>
      </c>
    </row>
    <row r="26" spans="1:13">
      <c r="A26" s="5">
        <v>16</v>
      </c>
      <c r="B26" s="6" t="s">
        <v>424</v>
      </c>
      <c r="C26" s="6">
        <v>13.84</v>
      </c>
      <c r="D26" s="6">
        <v>1</v>
      </c>
      <c r="E26" s="6">
        <v>2670</v>
      </c>
      <c r="F26" s="6">
        <v>89</v>
      </c>
      <c r="G26" s="6">
        <v>24</v>
      </c>
      <c r="H26" s="6">
        <v>0</v>
      </c>
      <c r="I26" s="6">
        <v>94</v>
      </c>
      <c r="J26" s="6">
        <v>0.6</v>
      </c>
      <c r="K26" s="6">
        <v>-0.1</v>
      </c>
      <c r="L26" s="6">
        <v>2018</v>
      </c>
      <c r="M26" s="7" t="s">
        <v>425</v>
      </c>
    </row>
    <row r="27" spans="1:13">
      <c r="A27" s="8">
        <v>17</v>
      </c>
      <c r="B27" s="9" t="s">
        <v>426</v>
      </c>
      <c r="C27" s="9">
        <v>12.84</v>
      </c>
      <c r="D27" s="9">
        <v>1</v>
      </c>
      <c r="E27" s="9">
        <v>2672</v>
      </c>
      <c r="F27" s="9">
        <v>2</v>
      </c>
      <c r="G27" s="9">
        <v>24</v>
      </c>
      <c r="H27" s="9">
        <v>1</v>
      </c>
      <c r="I27" s="9">
        <v>92</v>
      </c>
      <c r="J27" s="9">
        <v>0.7</v>
      </c>
      <c r="K27" s="9">
        <v>-0.1</v>
      </c>
      <c r="L27" s="9">
        <v>2018</v>
      </c>
      <c r="M27" s="10" t="s">
        <v>427</v>
      </c>
    </row>
    <row r="28" spans="1:13">
      <c r="A28" s="5">
        <v>18</v>
      </c>
      <c r="B28" s="6" t="s">
        <v>428</v>
      </c>
      <c r="C28" s="6">
        <v>11.84</v>
      </c>
      <c r="D28" s="6">
        <v>1</v>
      </c>
      <c r="E28" s="6">
        <v>2673</v>
      </c>
      <c r="F28" s="6">
        <v>1</v>
      </c>
      <c r="G28" s="6">
        <v>24</v>
      </c>
      <c r="H28" s="6">
        <v>1</v>
      </c>
      <c r="I28" s="6">
        <v>87</v>
      </c>
      <c r="J28" s="6">
        <v>0.6</v>
      </c>
      <c r="K28" s="6">
        <v>0</v>
      </c>
      <c r="L28" s="6">
        <v>2018</v>
      </c>
      <c r="M28" s="7" t="s">
        <v>429</v>
      </c>
    </row>
    <row r="29" spans="1:13">
      <c r="A29" s="8">
        <v>19</v>
      </c>
      <c r="B29" s="9" t="s">
        <v>430</v>
      </c>
      <c r="C29" s="9">
        <v>10.84</v>
      </c>
      <c r="D29" s="9">
        <v>0</v>
      </c>
      <c r="E29" s="9">
        <v>2674</v>
      </c>
      <c r="F29" s="9">
        <v>1</v>
      </c>
      <c r="G29" s="9">
        <v>24</v>
      </c>
      <c r="H29" s="9">
        <v>1</v>
      </c>
      <c r="I29" s="9">
        <v>86</v>
      </c>
      <c r="J29" s="9">
        <v>0.6</v>
      </c>
      <c r="K29" s="9">
        <v>-0.1</v>
      </c>
      <c r="L29" s="9">
        <v>2018</v>
      </c>
      <c r="M29" s="10" t="s">
        <v>431</v>
      </c>
    </row>
    <row r="30" spans="1:13">
      <c r="A30" s="5">
        <v>20</v>
      </c>
      <c r="B30" s="6" t="s">
        <v>430</v>
      </c>
      <c r="C30" s="6">
        <v>9.82</v>
      </c>
      <c r="D30" s="6">
        <v>1</v>
      </c>
      <c r="E30" s="6">
        <v>2674</v>
      </c>
      <c r="F30" s="6">
        <v>0</v>
      </c>
      <c r="G30" s="6">
        <v>24</v>
      </c>
      <c r="H30" s="6">
        <v>2.7</v>
      </c>
      <c r="I30" s="6">
        <v>86</v>
      </c>
      <c r="J30" s="6">
        <v>0.7</v>
      </c>
      <c r="K30" s="6">
        <v>-0.1</v>
      </c>
      <c r="L30" s="6">
        <v>2018</v>
      </c>
      <c r="M30" s="7" t="s">
        <v>432</v>
      </c>
    </row>
    <row r="31" spans="1:13">
      <c r="A31" s="8">
        <v>21</v>
      </c>
      <c r="B31" s="9" t="s">
        <v>430</v>
      </c>
      <c r="C31" s="9">
        <v>8.82</v>
      </c>
      <c r="D31" s="9">
        <v>1</v>
      </c>
      <c r="E31" s="9">
        <v>2675</v>
      </c>
      <c r="F31" s="9">
        <v>1</v>
      </c>
      <c r="G31" s="9">
        <v>0</v>
      </c>
      <c r="H31" s="9">
        <v>2.8</v>
      </c>
      <c r="I31" s="9">
        <v>0</v>
      </c>
      <c r="J31" s="9">
        <v>0.7</v>
      </c>
      <c r="K31" s="9">
        <v>0</v>
      </c>
      <c r="L31" s="9">
        <v>2018</v>
      </c>
      <c r="M31" s="10" t="s">
        <v>433</v>
      </c>
    </row>
    <row r="32" spans="1:13">
      <c r="A32" s="5">
        <v>22</v>
      </c>
      <c r="B32" s="6" t="s">
        <v>434</v>
      </c>
      <c r="C32" s="6">
        <v>7.81</v>
      </c>
      <c r="D32" s="6">
        <v>1</v>
      </c>
      <c r="E32" s="6">
        <v>2675</v>
      </c>
      <c r="F32" s="6">
        <v>0</v>
      </c>
      <c r="G32" s="6">
        <v>0</v>
      </c>
      <c r="H32" s="6">
        <v>2.8</v>
      </c>
      <c r="I32" s="6">
        <v>0</v>
      </c>
      <c r="J32" s="6">
        <v>0.6</v>
      </c>
      <c r="K32" s="6">
        <v>-0.1</v>
      </c>
      <c r="L32" s="6">
        <v>2018</v>
      </c>
      <c r="M32" s="7" t="s">
        <v>435</v>
      </c>
    </row>
    <row r="33" spans="1:13">
      <c r="A33" s="8">
        <v>23</v>
      </c>
      <c r="B33" s="9" t="s">
        <v>434</v>
      </c>
      <c r="C33" s="9">
        <v>6.81</v>
      </c>
      <c r="D33" s="9">
        <v>1</v>
      </c>
      <c r="E33" s="9">
        <v>2675</v>
      </c>
      <c r="F33" s="9">
        <v>0</v>
      </c>
      <c r="G33" s="9">
        <v>0</v>
      </c>
      <c r="H33" s="9">
        <v>2.7</v>
      </c>
      <c r="I33" s="9">
        <v>0</v>
      </c>
      <c r="J33" s="9">
        <v>0.7</v>
      </c>
      <c r="K33" s="9">
        <v>0</v>
      </c>
      <c r="L33" s="9">
        <v>2018</v>
      </c>
      <c r="M33" s="10" t="s">
        <v>436</v>
      </c>
    </row>
    <row r="34" spans="1:13">
      <c r="A34" s="5">
        <v>24</v>
      </c>
      <c r="B34" s="6" t="s">
        <v>434</v>
      </c>
      <c r="C34" s="6">
        <v>5.81</v>
      </c>
      <c r="D34" s="6">
        <v>1</v>
      </c>
      <c r="E34" s="6">
        <v>2675</v>
      </c>
      <c r="F34" s="6">
        <v>0</v>
      </c>
      <c r="G34" s="6">
        <v>0</v>
      </c>
      <c r="H34" s="6">
        <v>2.8</v>
      </c>
      <c r="I34" s="6">
        <v>0</v>
      </c>
      <c r="J34" s="6">
        <v>0.6</v>
      </c>
      <c r="K34" s="6">
        <v>-0.1</v>
      </c>
      <c r="L34" s="6">
        <v>2018</v>
      </c>
      <c r="M34" s="7" t="s">
        <v>437</v>
      </c>
    </row>
    <row r="35" spans="1:13">
      <c r="A35" s="8">
        <v>25</v>
      </c>
      <c r="B35" s="9" t="s">
        <v>438</v>
      </c>
      <c r="C35" s="9">
        <v>4.8</v>
      </c>
      <c r="D35" s="9">
        <v>1</v>
      </c>
      <c r="E35" s="9">
        <v>2676</v>
      </c>
      <c r="F35" s="9">
        <v>1</v>
      </c>
      <c r="G35" s="9">
        <v>0</v>
      </c>
      <c r="H35" s="9">
        <v>2.7</v>
      </c>
      <c r="I35" s="9">
        <v>0</v>
      </c>
      <c r="J35" s="9">
        <v>0.7</v>
      </c>
      <c r="K35" s="9">
        <v>-0.1</v>
      </c>
      <c r="L35" s="9">
        <v>2018</v>
      </c>
      <c r="M35" s="10" t="s">
        <v>439</v>
      </c>
    </row>
    <row r="36" spans="1:13">
      <c r="A36" s="5">
        <v>26</v>
      </c>
      <c r="B36" s="6" t="s">
        <v>438</v>
      </c>
      <c r="C36" s="6">
        <v>3.79</v>
      </c>
      <c r="D36" s="6">
        <v>1</v>
      </c>
      <c r="E36" s="6">
        <v>2676</v>
      </c>
      <c r="F36" s="6">
        <v>0</v>
      </c>
      <c r="G36" s="6">
        <v>0</v>
      </c>
      <c r="H36" s="6">
        <v>2.7</v>
      </c>
      <c r="I36" s="6">
        <v>0</v>
      </c>
      <c r="J36" s="6">
        <v>0.7</v>
      </c>
      <c r="K36" s="6">
        <v>-0.1</v>
      </c>
      <c r="L36" s="6">
        <v>2018</v>
      </c>
      <c r="M36" s="7" t="s">
        <v>440</v>
      </c>
    </row>
    <row r="37" spans="1:13">
      <c r="A37" s="8">
        <v>27</v>
      </c>
      <c r="B37" s="9" t="s">
        <v>441</v>
      </c>
      <c r="C37" s="9">
        <v>2.77</v>
      </c>
      <c r="D37" s="9">
        <v>1</v>
      </c>
      <c r="E37" s="9">
        <v>2676</v>
      </c>
      <c r="F37" s="9">
        <v>0</v>
      </c>
      <c r="G37" s="9">
        <v>0</v>
      </c>
      <c r="H37" s="9">
        <v>2.7</v>
      </c>
      <c r="I37" s="9">
        <v>0</v>
      </c>
      <c r="J37" s="9">
        <v>0.6</v>
      </c>
      <c r="K37" s="9">
        <v>-0.1</v>
      </c>
      <c r="L37" s="9">
        <v>2018</v>
      </c>
      <c r="M37" s="10" t="s">
        <v>442</v>
      </c>
    </row>
    <row r="38" spans="1:13">
      <c r="A38" s="5">
        <v>28</v>
      </c>
      <c r="B38" s="6" t="s">
        <v>441</v>
      </c>
      <c r="C38" s="6">
        <v>1.77</v>
      </c>
      <c r="D38" s="6">
        <v>1</v>
      </c>
      <c r="E38" s="6">
        <v>2676</v>
      </c>
      <c r="F38" s="6">
        <v>0</v>
      </c>
      <c r="G38" s="6">
        <v>0</v>
      </c>
      <c r="H38" s="6">
        <v>2.7</v>
      </c>
      <c r="I38" s="6">
        <v>0</v>
      </c>
      <c r="J38" s="6">
        <v>0.6</v>
      </c>
      <c r="K38" s="6">
        <v>-0.1</v>
      </c>
      <c r="L38" s="6">
        <v>2018</v>
      </c>
      <c r="M38" s="7" t="s">
        <v>443</v>
      </c>
    </row>
    <row r="39" spans="1:13">
      <c r="A39" s="11">
        <v>29</v>
      </c>
      <c r="B39" s="12" t="s">
        <v>441</v>
      </c>
      <c r="C39" s="12">
        <v>0.75</v>
      </c>
      <c r="D39" s="12">
        <v>0</v>
      </c>
      <c r="E39" s="12">
        <v>2677</v>
      </c>
      <c r="F39" s="12">
        <v>0</v>
      </c>
      <c r="G39" s="12">
        <v>0</v>
      </c>
      <c r="H39" s="12">
        <v>2.6</v>
      </c>
      <c r="I39" s="12">
        <v>0</v>
      </c>
      <c r="J39" s="12">
        <v>0.6</v>
      </c>
      <c r="K39" s="12">
        <v>-0.1</v>
      </c>
      <c r="L39" s="12">
        <v>2018</v>
      </c>
      <c r="M39" s="13" t="s">
        <v>444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1410-AE14-4947-B977-C3EB9478BDB8}">
  <dimension ref="A1:P39"/>
  <sheetViews>
    <sheetView topLeftCell="A7" workbookViewId="0">
      <selection activeCell="P14" sqref="P14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345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346</v>
      </c>
      <c r="C4" s="6" t="s">
        <v>13</v>
      </c>
      <c r="D4" s="6" t="s">
        <v>13</v>
      </c>
      <c r="E4" s="6" t="s">
        <v>19</v>
      </c>
      <c r="F4" s="6" t="s">
        <v>346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347</v>
      </c>
      <c r="C5" s="9" t="s">
        <v>13</v>
      </c>
      <c r="D5" s="9" t="s">
        <v>13</v>
      </c>
      <c r="E5" s="9" t="s">
        <v>22</v>
      </c>
      <c r="F5" s="9" t="s">
        <v>348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349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350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O10" s="22" t="s">
        <v>124</v>
      </c>
      <c r="P10">
        <v>10.83</v>
      </c>
    </row>
    <row r="11" spans="1:16">
      <c r="A11" s="8">
        <v>1</v>
      </c>
      <c r="B11" s="9" t="s">
        <v>351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1918</v>
      </c>
      <c r="M11" s="10" t="s">
        <v>352</v>
      </c>
      <c r="O11" s="23" t="s">
        <v>127</v>
      </c>
      <c r="P11">
        <f>SUM(F22:F27)</f>
        <v>2325</v>
      </c>
    </row>
    <row r="12" spans="1:16">
      <c r="A12" s="5">
        <v>2</v>
      </c>
      <c r="B12" s="6" t="s">
        <v>351</v>
      </c>
      <c r="C12" s="6">
        <v>1</v>
      </c>
      <c r="D12" s="6">
        <v>1</v>
      </c>
      <c r="E12" s="6">
        <v>1</v>
      </c>
      <c r="F12" s="6">
        <v>1</v>
      </c>
      <c r="G12" s="6">
        <v>0</v>
      </c>
      <c r="H12" s="6">
        <v>4.5999999999999996</v>
      </c>
      <c r="I12" s="6">
        <v>0</v>
      </c>
      <c r="J12" s="6">
        <v>0.6</v>
      </c>
      <c r="K12" s="6">
        <v>0</v>
      </c>
      <c r="L12" s="6">
        <v>1918</v>
      </c>
      <c r="M12" s="7" t="s">
        <v>352</v>
      </c>
      <c r="O12" s="23" t="s">
        <v>125</v>
      </c>
      <c r="P12">
        <f>AVERAGE(H21:H25)</f>
        <v>1.1400000000000001</v>
      </c>
    </row>
    <row r="13" spans="1:16">
      <c r="A13" s="8">
        <v>3</v>
      </c>
      <c r="B13" s="9" t="s">
        <v>351</v>
      </c>
      <c r="C13" s="9">
        <v>2.02</v>
      </c>
      <c r="D13" s="9">
        <v>1</v>
      </c>
      <c r="E13" s="9">
        <v>1</v>
      </c>
      <c r="F13" s="9">
        <v>0</v>
      </c>
      <c r="G13" s="9">
        <v>0</v>
      </c>
      <c r="H13" s="9">
        <v>4.5</v>
      </c>
      <c r="I13" s="9">
        <v>0</v>
      </c>
      <c r="J13" s="9">
        <v>0.6</v>
      </c>
      <c r="K13" s="9">
        <v>0</v>
      </c>
      <c r="L13" s="9">
        <v>1918</v>
      </c>
      <c r="M13" s="10" t="s">
        <v>353</v>
      </c>
      <c r="O13" s="23" t="s">
        <v>126</v>
      </c>
      <c r="P13">
        <f>AVERAGE(H26:H29)</f>
        <v>0.67500000000000004</v>
      </c>
    </row>
    <row r="14" spans="1:16">
      <c r="A14" s="5">
        <v>4</v>
      </c>
      <c r="B14" s="6" t="s">
        <v>351</v>
      </c>
      <c r="C14" s="6">
        <v>3.05</v>
      </c>
      <c r="D14" s="6">
        <v>1</v>
      </c>
      <c r="E14" s="6">
        <v>1</v>
      </c>
      <c r="F14" s="6">
        <v>0</v>
      </c>
      <c r="G14" s="6">
        <v>0</v>
      </c>
      <c r="H14" s="6">
        <v>4.5999999999999996</v>
      </c>
      <c r="I14" s="6">
        <v>0</v>
      </c>
      <c r="J14" s="6">
        <v>0.6</v>
      </c>
      <c r="K14" s="6">
        <v>0</v>
      </c>
      <c r="L14" s="6">
        <v>1918</v>
      </c>
      <c r="M14" s="7" t="s">
        <v>354</v>
      </c>
    </row>
    <row r="15" spans="1:16">
      <c r="A15" s="8">
        <v>5</v>
      </c>
      <c r="B15" s="9" t="s">
        <v>351</v>
      </c>
      <c r="C15" s="9">
        <v>4.07</v>
      </c>
      <c r="D15" s="9">
        <v>0</v>
      </c>
      <c r="E15" s="9">
        <v>1</v>
      </c>
      <c r="F15" s="9">
        <v>0</v>
      </c>
      <c r="G15" s="9">
        <v>0</v>
      </c>
      <c r="H15" s="9">
        <v>4.4000000000000004</v>
      </c>
      <c r="I15" s="9">
        <v>0</v>
      </c>
      <c r="J15" s="9">
        <v>0.6</v>
      </c>
      <c r="K15" s="9">
        <v>0</v>
      </c>
      <c r="L15" s="9">
        <v>1918</v>
      </c>
      <c r="M15" s="10" t="s">
        <v>356</v>
      </c>
    </row>
    <row r="16" spans="1:16">
      <c r="A16" s="5">
        <v>6</v>
      </c>
      <c r="B16" s="6" t="s">
        <v>357</v>
      </c>
      <c r="C16" s="6">
        <v>5.08</v>
      </c>
      <c r="D16" s="6">
        <v>1</v>
      </c>
      <c r="E16" s="6">
        <v>1</v>
      </c>
      <c r="F16" s="6">
        <v>0</v>
      </c>
      <c r="G16" s="6">
        <v>0</v>
      </c>
      <c r="H16" s="6">
        <v>4.4000000000000004</v>
      </c>
      <c r="I16" s="6">
        <v>0</v>
      </c>
      <c r="J16" s="6">
        <v>0.6</v>
      </c>
      <c r="K16" s="6">
        <v>0.1</v>
      </c>
      <c r="L16" s="6">
        <v>1918</v>
      </c>
      <c r="M16" s="7" t="s">
        <v>358</v>
      </c>
    </row>
    <row r="17" spans="1:13">
      <c r="A17" s="8">
        <v>7</v>
      </c>
      <c r="B17" s="9" t="s">
        <v>357</v>
      </c>
      <c r="C17" s="9">
        <v>6.09</v>
      </c>
      <c r="D17" s="9">
        <v>1</v>
      </c>
      <c r="E17" s="9">
        <v>2</v>
      </c>
      <c r="F17" s="9">
        <v>1</v>
      </c>
      <c r="G17" s="9">
        <v>24</v>
      </c>
      <c r="H17" s="9">
        <v>4.3</v>
      </c>
      <c r="I17" s="9">
        <v>86</v>
      </c>
      <c r="J17" s="9">
        <v>0.6</v>
      </c>
      <c r="K17" s="9">
        <v>0</v>
      </c>
      <c r="L17" s="9">
        <v>1918</v>
      </c>
      <c r="M17" s="10" t="s">
        <v>359</v>
      </c>
    </row>
    <row r="18" spans="1:13">
      <c r="A18" s="5">
        <v>8</v>
      </c>
      <c r="B18" s="6" t="s">
        <v>357</v>
      </c>
      <c r="C18" s="6">
        <v>7.11</v>
      </c>
      <c r="D18" s="6">
        <v>1</v>
      </c>
      <c r="E18" s="6">
        <v>2</v>
      </c>
      <c r="F18" s="6">
        <v>0</v>
      </c>
      <c r="G18" s="6">
        <v>24</v>
      </c>
      <c r="H18" s="6">
        <v>4.4000000000000004</v>
      </c>
      <c r="I18" s="6">
        <v>86</v>
      </c>
      <c r="J18" s="6">
        <v>0.6</v>
      </c>
      <c r="K18" s="6">
        <v>0</v>
      </c>
      <c r="L18" s="6">
        <v>1918</v>
      </c>
      <c r="M18" s="7" t="s">
        <v>360</v>
      </c>
    </row>
    <row r="19" spans="1:13">
      <c r="A19" s="8">
        <v>9</v>
      </c>
      <c r="B19" s="9" t="s">
        <v>357</v>
      </c>
      <c r="C19" s="9">
        <v>8.1300000000000008</v>
      </c>
      <c r="D19" s="9">
        <v>1</v>
      </c>
      <c r="E19" s="9">
        <v>2</v>
      </c>
      <c r="F19" s="9">
        <v>0</v>
      </c>
      <c r="G19" s="9">
        <v>24</v>
      </c>
      <c r="H19" s="9">
        <v>4.4000000000000004</v>
      </c>
      <c r="I19" s="9">
        <v>86</v>
      </c>
      <c r="J19" s="9">
        <v>0.6</v>
      </c>
      <c r="K19" s="9">
        <v>0</v>
      </c>
      <c r="L19" s="9">
        <v>1918</v>
      </c>
      <c r="M19" s="10" t="s">
        <v>361</v>
      </c>
    </row>
    <row r="20" spans="1:13">
      <c r="A20" s="5">
        <v>10</v>
      </c>
      <c r="B20" s="6" t="s">
        <v>362</v>
      </c>
      <c r="C20" s="6">
        <v>9.14</v>
      </c>
      <c r="D20" s="6">
        <v>0</v>
      </c>
      <c r="E20" s="6">
        <v>2</v>
      </c>
      <c r="F20" s="6">
        <v>0</v>
      </c>
      <c r="G20" s="6">
        <v>24</v>
      </c>
      <c r="H20" s="6">
        <v>4.4000000000000004</v>
      </c>
      <c r="I20" s="6">
        <v>86</v>
      </c>
      <c r="J20" s="6">
        <v>0.6</v>
      </c>
      <c r="K20" s="6">
        <v>0.1</v>
      </c>
      <c r="L20" s="6">
        <v>1918</v>
      </c>
      <c r="M20" s="7" t="s">
        <v>363</v>
      </c>
    </row>
    <row r="21" spans="1:13">
      <c r="A21" s="15">
        <v>11</v>
      </c>
      <c r="B21" s="16" t="s">
        <v>362</v>
      </c>
      <c r="C21" s="16">
        <v>10.14</v>
      </c>
      <c r="D21" s="16">
        <v>1</v>
      </c>
      <c r="E21" s="16">
        <v>2</v>
      </c>
      <c r="F21" s="16">
        <v>0</v>
      </c>
      <c r="G21" s="16">
        <v>24</v>
      </c>
      <c r="H21" s="16">
        <v>4.0999999999999996</v>
      </c>
      <c r="I21" s="16">
        <v>86</v>
      </c>
      <c r="J21" s="16">
        <v>0.6</v>
      </c>
      <c r="K21" s="16">
        <v>0.1</v>
      </c>
      <c r="L21" s="16">
        <v>1918</v>
      </c>
      <c r="M21" s="17" t="s">
        <v>364</v>
      </c>
    </row>
    <row r="22" spans="1:13">
      <c r="A22" s="5">
        <v>12</v>
      </c>
      <c r="B22" s="6" t="s">
        <v>365</v>
      </c>
      <c r="C22" s="6">
        <v>11.14</v>
      </c>
      <c r="D22" s="6">
        <v>288</v>
      </c>
      <c r="E22" s="6">
        <v>326</v>
      </c>
      <c r="F22" s="6">
        <v>324</v>
      </c>
      <c r="G22" s="6">
        <v>24</v>
      </c>
      <c r="H22" s="6">
        <v>0.4</v>
      </c>
      <c r="I22" s="6">
        <v>88</v>
      </c>
      <c r="J22" s="6">
        <v>0.6</v>
      </c>
      <c r="K22" s="6">
        <v>0.1</v>
      </c>
      <c r="L22" s="6">
        <v>1918</v>
      </c>
      <c r="M22" s="7" t="s">
        <v>366</v>
      </c>
    </row>
    <row r="23" spans="1:13">
      <c r="A23" s="8">
        <v>13</v>
      </c>
      <c r="B23" s="9" t="s">
        <v>367</v>
      </c>
      <c r="C23" s="9">
        <v>12.14</v>
      </c>
      <c r="D23" s="9">
        <v>280</v>
      </c>
      <c r="E23" s="9">
        <v>1068</v>
      </c>
      <c r="F23" s="9">
        <v>742</v>
      </c>
      <c r="G23" s="9">
        <v>24</v>
      </c>
      <c r="H23" s="9">
        <v>0.4</v>
      </c>
      <c r="I23" s="9">
        <v>91</v>
      </c>
      <c r="J23" s="9">
        <v>0.6</v>
      </c>
      <c r="K23" s="9">
        <v>0.2</v>
      </c>
      <c r="L23" s="9">
        <v>1918</v>
      </c>
      <c r="M23" s="10" t="s">
        <v>368</v>
      </c>
    </row>
    <row r="24" spans="1:13">
      <c r="A24" s="5">
        <v>14</v>
      </c>
      <c r="B24" s="6" t="s">
        <v>369</v>
      </c>
      <c r="C24" s="6">
        <v>13.14</v>
      </c>
      <c r="D24" s="6">
        <v>280</v>
      </c>
      <c r="E24" s="6">
        <v>1805</v>
      </c>
      <c r="F24" s="6">
        <v>737</v>
      </c>
      <c r="G24" s="6">
        <v>24</v>
      </c>
      <c r="H24" s="6">
        <v>0.4</v>
      </c>
      <c r="I24" s="6">
        <v>92</v>
      </c>
      <c r="J24" s="6">
        <v>0.6</v>
      </c>
      <c r="K24" s="6">
        <v>0</v>
      </c>
      <c r="L24" s="6">
        <v>1918</v>
      </c>
      <c r="M24" s="7" t="s">
        <v>370</v>
      </c>
    </row>
    <row r="25" spans="1:13">
      <c r="A25" s="8">
        <v>15</v>
      </c>
      <c r="B25" s="9" t="s">
        <v>371</v>
      </c>
      <c r="C25" s="9">
        <v>13.83</v>
      </c>
      <c r="D25" s="9">
        <v>285</v>
      </c>
      <c r="E25" s="9">
        <v>2281</v>
      </c>
      <c r="F25" s="9">
        <v>476</v>
      </c>
      <c r="G25" s="9">
        <v>24</v>
      </c>
      <c r="H25" s="9">
        <v>0.4</v>
      </c>
      <c r="I25" s="9">
        <v>101</v>
      </c>
      <c r="J25" s="9">
        <v>0.6</v>
      </c>
      <c r="K25" s="9">
        <v>0.1</v>
      </c>
      <c r="L25" s="9">
        <v>1918</v>
      </c>
      <c r="M25" s="10" t="s">
        <v>372</v>
      </c>
    </row>
    <row r="26" spans="1:13">
      <c r="A26" s="5">
        <v>16</v>
      </c>
      <c r="B26" s="6" t="s">
        <v>373</v>
      </c>
      <c r="C26" s="6">
        <v>13.83</v>
      </c>
      <c r="D26" s="6">
        <v>235</v>
      </c>
      <c r="E26" s="6">
        <v>2318</v>
      </c>
      <c r="F26" s="6">
        <v>37</v>
      </c>
      <c r="G26" s="6">
        <v>24</v>
      </c>
      <c r="H26" s="6">
        <v>0</v>
      </c>
      <c r="I26" s="6">
        <v>93</v>
      </c>
      <c r="J26" s="6">
        <v>0.5</v>
      </c>
      <c r="K26" s="6">
        <v>0.1</v>
      </c>
      <c r="L26" s="6">
        <v>1918</v>
      </c>
      <c r="M26" s="7" t="s">
        <v>375</v>
      </c>
    </row>
    <row r="27" spans="1:13">
      <c r="A27" s="8">
        <v>17</v>
      </c>
      <c r="B27" s="9" t="s">
        <v>376</v>
      </c>
      <c r="C27" s="9">
        <v>12.83</v>
      </c>
      <c r="D27" s="9">
        <v>1</v>
      </c>
      <c r="E27" s="9">
        <v>2327</v>
      </c>
      <c r="F27" s="9">
        <v>9</v>
      </c>
      <c r="G27" s="9">
        <v>24</v>
      </c>
      <c r="H27" s="9">
        <v>0.9</v>
      </c>
      <c r="I27" s="9">
        <v>90</v>
      </c>
      <c r="J27" s="9">
        <v>0.6</v>
      </c>
      <c r="K27" s="9">
        <v>0.1</v>
      </c>
      <c r="L27" s="9">
        <v>1918</v>
      </c>
      <c r="M27" s="10" t="s">
        <v>377</v>
      </c>
    </row>
    <row r="28" spans="1:13">
      <c r="A28" s="5">
        <v>18</v>
      </c>
      <c r="B28" s="6" t="s">
        <v>378</v>
      </c>
      <c r="C28" s="6">
        <v>11.83</v>
      </c>
      <c r="D28" s="6">
        <v>1</v>
      </c>
      <c r="E28" s="6">
        <v>2328</v>
      </c>
      <c r="F28" s="6">
        <v>1</v>
      </c>
      <c r="G28" s="6">
        <v>24</v>
      </c>
      <c r="H28" s="6">
        <v>0.8</v>
      </c>
      <c r="I28" s="6">
        <v>86</v>
      </c>
      <c r="J28" s="6">
        <v>0.6</v>
      </c>
      <c r="K28" s="6">
        <v>0.1</v>
      </c>
      <c r="L28" s="6">
        <v>1918</v>
      </c>
      <c r="M28" s="7" t="s">
        <v>379</v>
      </c>
    </row>
    <row r="29" spans="1:13">
      <c r="A29" s="8">
        <v>19</v>
      </c>
      <c r="B29" s="9" t="s">
        <v>380</v>
      </c>
      <c r="C29" s="9">
        <v>10.83</v>
      </c>
      <c r="D29" s="9">
        <v>1</v>
      </c>
      <c r="E29" s="9">
        <v>2329</v>
      </c>
      <c r="F29" s="9">
        <v>1</v>
      </c>
      <c r="G29" s="9">
        <v>24</v>
      </c>
      <c r="H29" s="9">
        <v>1</v>
      </c>
      <c r="I29" s="9">
        <v>85</v>
      </c>
      <c r="J29" s="9">
        <v>0.6</v>
      </c>
      <c r="K29" s="9">
        <v>0.1</v>
      </c>
      <c r="L29" s="9">
        <v>1918</v>
      </c>
      <c r="M29" s="10" t="s">
        <v>381</v>
      </c>
    </row>
    <row r="30" spans="1:13">
      <c r="A30" s="5">
        <v>20</v>
      </c>
      <c r="B30" s="6" t="s">
        <v>382</v>
      </c>
      <c r="C30" s="6">
        <v>9.82</v>
      </c>
      <c r="D30" s="6">
        <v>1</v>
      </c>
      <c r="E30" s="6">
        <v>2329</v>
      </c>
      <c r="F30" s="6">
        <v>0</v>
      </c>
      <c r="G30" s="6">
        <v>24</v>
      </c>
      <c r="H30" s="6">
        <v>2.7</v>
      </c>
      <c r="I30" s="6">
        <v>86</v>
      </c>
      <c r="J30" s="6">
        <v>0.6</v>
      </c>
      <c r="K30" s="6">
        <v>0</v>
      </c>
      <c r="L30" s="6">
        <v>1918</v>
      </c>
      <c r="M30" s="7" t="s">
        <v>383</v>
      </c>
    </row>
    <row r="31" spans="1:13">
      <c r="A31" s="8">
        <v>21</v>
      </c>
      <c r="B31" s="9" t="s">
        <v>382</v>
      </c>
      <c r="C31" s="9">
        <v>8.81</v>
      </c>
      <c r="D31" s="9">
        <v>1</v>
      </c>
      <c r="E31" s="9">
        <v>2329</v>
      </c>
      <c r="F31" s="9">
        <v>0</v>
      </c>
      <c r="G31" s="9">
        <v>24</v>
      </c>
      <c r="H31" s="9">
        <v>2.8</v>
      </c>
      <c r="I31" s="9">
        <v>86</v>
      </c>
      <c r="J31" s="9">
        <v>0.6</v>
      </c>
      <c r="K31" s="9">
        <v>0.1</v>
      </c>
      <c r="L31" s="9">
        <v>1918</v>
      </c>
      <c r="M31" s="10" t="s">
        <v>384</v>
      </c>
    </row>
    <row r="32" spans="1:13">
      <c r="A32" s="5">
        <v>22</v>
      </c>
      <c r="B32" s="6" t="s">
        <v>385</v>
      </c>
      <c r="C32" s="6">
        <v>7.79</v>
      </c>
      <c r="D32" s="6">
        <v>1</v>
      </c>
      <c r="E32" s="6">
        <v>2330</v>
      </c>
      <c r="F32" s="6">
        <v>1</v>
      </c>
      <c r="G32" s="6">
        <v>0</v>
      </c>
      <c r="H32" s="6">
        <v>3</v>
      </c>
      <c r="I32" s="6">
        <v>0</v>
      </c>
      <c r="J32" s="6">
        <v>0.6</v>
      </c>
      <c r="K32" s="6">
        <v>0.3</v>
      </c>
      <c r="L32" s="6">
        <v>1918</v>
      </c>
      <c r="M32" s="7" t="s">
        <v>386</v>
      </c>
    </row>
    <row r="33" spans="1:13">
      <c r="A33" s="8">
        <v>23</v>
      </c>
      <c r="B33" s="9" t="s">
        <v>385</v>
      </c>
      <c r="C33" s="9">
        <v>6.79</v>
      </c>
      <c r="D33" s="9">
        <v>1</v>
      </c>
      <c r="E33" s="9">
        <v>2330</v>
      </c>
      <c r="F33" s="9">
        <v>0</v>
      </c>
      <c r="G33" s="9">
        <v>0</v>
      </c>
      <c r="H33" s="9">
        <v>2.8</v>
      </c>
      <c r="I33" s="9">
        <v>0</v>
      </c>
      <c r="J33" s="9">
        <v>0.6</v>
      </c>
      <c r="K33" s="9">
        <v>0.3</v>
      </c>
      <c r="L33" s="9">
        <v>1918</v>
      </c>
      <c r="M33" s="10" t="s">
        <v>387</v>
      </c>
    </row>
    <row r="34" spans="1:13">
      <c r="A34" s="5">
        <v>24</v>
      </c>
      <c r="B34" s="6" t="s">
        <v>385</v>
      </c>
      <c r="C34" s="6">
        <v>5.78</v>
      </c>
      <c r="D34" s="6">
        <v>1</v>
      </c>
      <c r="E34" s="6">
        <v>2330</v>
      </c>
      <c r="F34" s="6">
        <v>0</v>
      </c>
      <c r="G34" s="6">
        <v>0</v>
      </c>
      <c r="H34" s="6">
        <v>3.6</v>
      </c>
      <c r="I34" s="6">
        <v>0</v>
      </c>
      <c r="J34" s="6">
        <v>0.6</v>
      </c>
      <c r="K34" s="6">
        <v>0.3</v>
      </c>
      <c r="L34" s="6">
        <v>1918</v>
      </c>
      <c r="M34" s="7" t="s">
        <v>388</v>
      </c>
    </row>
    <row r="35" spans="1:13">
      <c r="A35" s="8">
        <v>25</v>
      </c>
      <c r="B35" s="9" t="s">
        <v>389</v>
      </c>
      <c r="C35" s="9">
        <v>4.78</v>
      </c>
      <c r="D35" s="9">
        <v>1</v>
      </c>
      <c r="E35" s="9">
        <v>2330</v>
      </c>
      <c r="F35" s="9">
        <v>0</v>
      </c>
      <c r="G35" s="9">
        <v>0</v>
      </c>
      <c r="H35" s="9">
        <v>3.6</v>
      </c>
      <c r="I35" s="9">
        <v>0</v>
      </c>
      <c r="J35" s="9">
        <v>0.6</v>
      </c>
      <c r="K35" s="9">
        <v>0.3</v>
      </c>
      <c r="L35" s="9">
        <v>1918</v>
      </c>
      <c r="M35" s="10" t="s">
        <v>390</v>
      </c>
    </row>
    <row r="36" spans="1:13">
      <c r="A36" s="5">
        <v>26</v>
      </c>
      <c r="B36" s="6" t="s">
        <v>389</v>
      </c>
      <c r="C36" s="6">
        <v>3.77</v>
      </c>
      <c r="D36" s="6">
        <v>0</v>
      </c>
      <c r="E36" s="6">
        <v>2331</v>
      </c>
      <c r="F36" s="6">
        <v>1</v>
      </c>
      <c r="G36" s="6">
        <v>0</v>
      </c>
      <c r="H36" s="6">
        <v>3.5</v>
      </c>
      <c r="I36" s="6">
        <v>0</v>
      </c>
      <c r="J36" s="6">
        <v>0.6</v>
      </c>
      <c r="K36" s="6">
        <v>0.3</v>
      </c>
      <c r="L36" s="6">
        <v>1918</v>
      </c>
      <c r="M36" s="7" t="s">
        <v>391</v>
      </c>
    </row>
    <row r="37" spans="1:13">
      <c r="A37" s="8">
        <v>27</v>
      </c>
      <c r="B37" s="9" t="s">
        <v>389</v>
      </c>
      <c r="C37" s="9">
        <v>2.74</v>
      </c>
      <c r="D37" s="9">
        <v>1</v>
      </c>
      <c r="E37" s="9">
        <v>2331</v>
      </c>
      <c r="F37" s="9">
        <v>0</v>
      </c>
      <c r="G37" s="9">
        <v>0</v>
      </c>
      <c r="H37" s="9">
        <v>3.8</v>
      </c>
      <c r="I37" s="9">
        <v>0</v>
      </c>
      <c r="J37" s="9">
        <v>0.6</v>
      </c>
      <c r="K37" s="9">
        <v>0.3</v>
      </c>
      <c r="L37" s="9">
        <v>1918</v>
      </c>
      <c r="M37" s="10" t="s">
        <v>392</v>
      </c>
    </row>
    <row r="38" spans="1:13">
      <c r="A38" s="5">
        <v>28</v>
      </c>
      <c r="B38" s="6" t="s">
        <v>389</v>
      </c>
      <c r="C38" s="6">
        <v>1.73</v>
      </c>
      <c r="D38" s="6">
        <v>1</v>
      </c>
      <c r="E38" s="6">
        <v>2331</v>
      </c>
      <c r="F38" s="6">
        <v>0</v>
      </c>
      <c r="G38" s="6">
        <v>0</v>
      </c>
      <c r="H38" s="6">
        <v>3.7</v>
      </c>
      <c r="I38" s="6">
        <v>0</v>
      </c>
      <c r="J38" s="6">
        <v>0.6</v>
      </c>
      <c r="K38" s="6">
        <v>0.3</v>
      </c>
      <c r="L38" s="6">
        <v>1918</v>
      </c>
      <c r="M38" s="7" t="s">
        <v>393</v>
      </c>
    </row>
    <row r="39" spans="1:13">
      <c r="A39" s="11">
        <v>29</v>
      </c>
      <c r="B39" s="12" t="s">
        <v>350</v>
      </c>
      <c r="C39" s="12">
        <v>0.72</v>
      </c>
      <c r="D39" s="12">
        <v>1</v>
      </c>
      <c r="E39" s="12">
        <v>2331</v>
      </c>
      <c r="F39" s="12">
        <v>0</v>
      </c>
      <c r="G39" s="12">
        <v>0</v>
      </c>
      <c r="H39" s="12">
        <v>3.7</v>
      </c>
      <c r="I39" s="12">
        <v>0</v>
      </c>
      <c r="J39" s="12">
        <v>0.6</v>
      </c>
      <c r="K39" s="12">
        <v>0.3</v>
      </c>
      <c r="L39" s="12">
        <v>1918</v>
      </c>
      <c r="M39" s="13" t="s">
        <v>394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9DAF-395D-4B5C-AD8F-D97AD4936FD2}">
  <dimension ref="A1:P39"/>
  <sheetViews>
    <sheetView zoomScale="70" zoomScaleNormal="70" workbookViewId="0">
      <selection activeCell="P15" sqref="P15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297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298</v>
      </c>
      <c r="C4" s="6" t="s">
        <v>13</v>
      </c>
      <c r="D4" s="6" t="s">
        <v>13</v>
      </c>
      <c r="E4" s="6" t="s">
        <v>19</v>
      </c>
      <c r="F4" s="6" t="s">
        <v>298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299</v>
      </c>
      <c r="C5" s="9" t="s">
        <v>13</v>
      </c>
      <c r="D5" s="9" t="s">
        <v>13</v>
      </c>
      <c r="E5" s="9" t="s">
        <v>22</v>
      </c>
      <c r="F5" s="9" t="s">
        <v>300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301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302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</row>
    <row r="11" spans="1:16">
      <c r="A11" s="8">
        <v>1</v>
      </c>
      <c r="B11" s="9" t="s">
        <v>303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1818</v>
      </c>
      <c r="M11" s="10" t="s">
        <v>304</v>
      </c>
      <c r="O11" s="22" t="s">
        <v>124</v>
      </c>
      <c r="P11">
        <v>10.85</v>
      </c>
    </row>
    <row r="12" spans="1:16">
      <c r="A12" s="5">
        <v>2</v>
      </c>
      <c r="B12" s="6" t="s">
        <v>303</v>
      </c>
      <c r="C12" s="6">
        <v>1</v>
      </c>
      <c r="D12" s="6">
        <v>1</v>
      </c>
      <c r="E12" s="6">
        <v>1</v>
      </c>
      <c r="F12" s="6">
        <v>1</v>
      </c>
      <c r="G12" s="6">
        <v>0</v>
      </c>
      <c r="H12" s="6">
        <v>4.7</v>
      </c>
      <c r="I12" s="6">
        <v>0</v>
      </c>
      <c r="J12" s="6">
        <v>0.6</v>
      </c>
      <c r="K12" s="6">
        <v>0.1</v>
      </c>
      <c r="L12" s="6">
        <v>1818</v>
      </c>
      <c r="M12" s="7" t="s">
        <v>304</v>
      </c>
      <c r="O12" s="23" t="s">
        <v>127</v>
      </c>
      <c r="P12">
        <f>SUM(F22:F27)</f>
        <v>2260</v>
      </c>
    </row>
    <row r="13" spans="1:16">
      <c r="A13" s="8">
        <v>3</v>
      </c>
      <c r="B13" s="9" t="s">
        <v>303</v>
      </c>
      <c r="C13" s="9">
        <v>2</v>
      </c>
      <c r="D13" s="9">
        <v>0</v>
      </c>
      <c r="E13" s="9">
        <v>1</v>
      </c>
      <c r="F13" s="9">
        <v>0</v>
      </c>
      <c r="G13" s="9">
        <v>0</v>
      </c>
      <c r="H13" s="9">
        <v>4.9000000000000004</v>
      </c>
      <c r="I13" s="9">
        <v>0</v>
      </c>
      <c r="J13" s="9">
        <v>0.6</v>
      </c>
      <c r="K13" s="9">
        <v>0.1</v>
      </c>
      <c r="L13" s="9">
        <v>1818</v>
      </c>
      <c r="M13" s="10" t="s">
        <v>305</v>
      </c>
      <c r="O13" s="23" t="s">
        <v>125</v>
      </c>
      <c r="P13">
        <f>AVERAGE(H21:H25)</f>
        <v>1.1600000000000001</v>
      </c>
    </row>
    <row r="14" spans="1:16">
      <c r="A14" s="5">
        <v>4</v>
      </c>
      <c r="B14" s="6" t="s">
        <v>303</v>
      </c>
      <c r="C14" s="6">
        <v>3</v>
      </c>
      <c r="D14" s="6">
        <v>1</v>
      </c>
      <c r="E14" s="6">
        <v>1</v>
      </c>
      <c r="F14" s="6">
        <v>0</v>
      </c>
      <c r="G14" s="6">
        <v>0</v>
      </c>
      <c r="H14" s="6">
        <v>4.8</v>
      </c>
      <c r="I14" s="6">
        <v>0</v>
      </c>
      <c r="J14" s="6">
        <v>0.6</v>
      </c>
      <c r="K14" s="6">
        <v>0.1</v>
      </c>
      <c r="L14" s="6">
        <v>1818</v>
      </c>
      <c r="M14" s="7" t="s">
        <v>306</v>
      </c>
      <c r="O14" s="23" t="s">
        <v>126</v>
      </c>
      <c r="P14">
        <f>AVERAGE(H26:H29)</f>
        <v>0.8</v>
      </c>
    </row>
    <row r="15" spans="1:16">
      <c r="A15" s="8">
        <v>5</v>
      </c>
      <c r="B15" s="9" t="s">
        <v>307</v>
      </c>
      <c r="C15" s="9">
        <v>4.0199999999999996</v>
      </c>
      <c r="D15" s="9">
        <v>1</v>
      </c>
      <c r="E15" s="9">
        <v>1</v>
      </c>
      <c r="F15" s="9">
        <v>0</v>
      </c>
      <c r="G15" s="9">
        <v>0</v>
      </c>
      <c r="H15" s="9">
        <v>4.7</v>
      </c>
      <c r="I15" s="9">
        <v>0</v>
      </c>
      <c r="J15" s="9">
        <v>0.5</v>
      </c>
      <c r="K15" s="9">
        <v>0</v>
      </c>
      <c r="L15" s="9">
        <v>1818</v>
      </c>
      <c r="M15" s="10" t="s">
        <v>308</v>
      </c>
    </row>
    <row r="16" spans="1:16">
      <c r="A16" s="5">
        <v>6</v>
      </c>
      <c r="B16" s="6" t="s">
        <v>307</v>
      </c>
      <c r="C16" s="6">
        <v>5.0199999999999996</v>
      </c>
      <c r="D16" s="6">
        <v>1</v>
      </c>
      <c r="E16" s="6">
        <v>1</v>
      </c>
      <c r="F16" s="6">
        <v>0</v>
      </c>
      <c r="G16" s="6">
        <v>0</v>
      </c>
      <c r="H16" s="6">
        <v>4.7</v>
      </c>
      <c r="I16" s="6">
        <v>0</v>
      </c>
      <c r="J16" s="6">
        <v>0.5</v>
      </c>
      <c r="K16" s="6">
        <v>0.1</v>
      </c>
      <c r="L16" s="6">
        <v>1818</v>
      </c>
      <c r="M16" s="7" t="s">
        <v>309</v>
      </c>
    </row>
    <row r="17" spans="1:13">
      <c r="A17" s="8">
        <v>7</v>
      </c>
      <c r="B17" s="9" t="s">
        <v>307</v>
      </c>
      <c r="C17" s="9">
        <v>6.02</v>
      </c>
      <c r="D17" s="9">
        <v>0</v>
      </c>
      <c r="E17" s="9">
        <v>1</v>
      </c>
      <c r="F17" s="9">
        <v>0</v>
      </c>
      <c r="G17" s="9">
        <v>0</v>
      </c>
      <c r="H17" s="9">
        <v>4.5999999999999996</v>
      </c>
      <c r="I17" s="9">
        <v>0</v>
      </c>
      <c r="J17" s="9">
        <v>0.5</v>
      </c>
      <c r="K17" s="9">
        <v>0</v>
      </c>
      <c r="L17" s="9">
        <v>1818</v>
      </c>
      <c r="M17" s="10" t="s">
        <v>310</v>
      </c>
    </row>
    <row r="18" spans="1:13">
      <c r="A18" s="5">
        <v>8</v>
      </c>
      <c r="B18" s="6" t="s">
        <v>307</v>
      </c>
      <c r="C18" s="6">
        <v>7.06</v>
      </c>
      <c r="D18" s="6">
        <v>1</v>
      </c>
      <c r="E18" s="6">
        <v>2</v>
      </c>
      <c r="F18" s="6">
        <v>1</v>
      </c>
      <c r="G18" s="6">
        <v>0</v>
      </c>
      <c r="H18" s="6">
        <v>4.5</v>
      </c>
      <c r="I18" s="6">
        <v>0</v>
      </c>
      <c r="J18" s="6">
        <v>0.6</v>
      </c>
      <c r="K18" s="6">
        <v>0.1</v>
      </c>
      <c r="L18" s="6">
        <v>1818</v>
      </c>
      <c r="M18" s="7" t="s">
        <v>311</v>
      </c>
    </row>
    <row r="19" spans="1:13">
      <c r="A19" s="8">
        <v>9</v>
      </c>
      <c r="B19" s="9" t="s">
        <v>312</v>
      </c>
      <c r="C19" s="9">
        <v>8.06</v>
      </c>
      <c r="D19" s="9">
        <v>1</v>
      </c>
      <c r="E19" s="9">
        <v>2</v>
      </c>
      <c r="F19" s="9">
        <v>0</v>
      </c>
      <c r="G19" s="9">
        <v>23.6</v>
      </c>
      <c r="H19" s="9">
        <v>4.5</v>
      </c>
      <c r="I19" s="9">
        <v>198</v>
      </c>
      <c r="J19" s="9">
        <v>0.6</v>
      </c>
      <c r="K19" s="9">
        <v>0.1</v>
      </c>
      <c r="L19" s="9">
        <v>1818</v>
      </c>
      <c r="M19" s="10" t="s">
        <v>313</v>
      </c>
    </row>
    <row r="20" spans="1:13">
      <c r="A20" s="5">
        <v>10</v>
      </c>
      <c r="B20" s="6" t="s">
        <v>312</v>
      </c>
      <c r="C20" s="6">
        <v>9.09</v>
      </c>
      <c r="D20" s="6">
        <v>1</v>
      </c>
      <c r="E20" s="6">
        <v>2</v>
      </c>
      <c r="F20" s="6">
        <v>0</v>
      </c>
      <c r="G20" s="6">
        <v>24</v>
      </c>
      <c r="H20" s="6">
        <v>4.5</v>
      </c>
      <c r="I20" s="6">
        <v>86</v>
      </c>
      <c r="J20" s="6">
        <v>0.6</v>
      </c>
      <c r="K20" s="6">
        <v>0.1</v>
      </c>
      <c r="L20" s="6">
        <v>1818</v>
      </c>
      <c r="M20" s="7" t="s">
        <v>314</v>
      </c>
    </row>
    <row r="21" spans="1:13">
      <c r="A21" s="15">
        <v>11</v>
      </c>
      <c r="B21" s="16" t="s">
        <v>312</v>
      </c>
      <c r="C21" s="16">
        <v>10.11</v>
      </c>
      <c r="D21" s="16">
        <v>1</v>
      </c>
      <c r="E21" s="16">
        <v>2</v>
      </c>
      <c r="F21" s="16">
        <v>0</v>
      </c>
      <c r="G21" s="16">
        <v>24</v>
      </c>
      <c r="H21" s="16">
        <v>4.3</v>
      </c>
      <c r="I21" s="16">
        <v>86</v>
      </c>
      <c r="J21" s="16">
        <v>0.6</v>
      </c>
      <c r="K21" s="16">
        <v>0.1</v>
      </c>
      <c r="L21" s="16">
        <v>1818</v>
      </c>
      <c r="M21" s="17" t="s">
        <v>315</v>
      </c>
    </row>
    <row r="22" spans="1:13">
      <c r="A22" s="5">
        <v>12</v>
      </c>
      <c r="B22" s="6" t="s">
        <v>316</v>
      </c>
      <c r="C22" s="6">
        <v>11.11</v>
      </c>
      <c r="D22" s="6">
        <v>287</v>
      </c>
      <c r="E22" s="6">
        <v>256</v>
      </c>
      <c r="F22" s="6">
        <v>254</v>
      </c>
      <c r="G22" s="6">
        <v>24</v>
      </c>
      <c r="H22" s="6">
        <v>0.3</v>
      </c>
      <c r="I22" s="6">
        <v>87</v>
      </c>
      <c r="J22" s="6">
        <v>0.6</v>
      </c>
      <c r="K22" s="6">
        <v>0.1</v>
      </c>
      <c r="L22" s="6">
        <v>1818</v>
      </c>
      <c r="M22" s="7" t="s">
        <v>317</v>
      </c>
    </row>
    <row r="23" spans="1:13">
      <c r="A23" s="8">
        <v>13</v>
      </c>
      <c r="B23" s="9" t="s">
        <v>318</v>
      </c>
      <c r="C23" s="9">
        <v>12.11</v>
      </c>
      <c r="D23" s="9">
        <v>285</v>
      </c>
      <c r="E23" s="9">
        <v>988</v>
      </c>
      <c r="F23" s="9">
        <v>732</v>
      </c>
      <c r="G23" s="9">
        <v>24</v>
      </c>
      <c r="H23" s="9">
        <v>0.4</v>
      </c>
      <c r="I23" s="9">
        <v>90</v>
      </c>
      <c r="J23" s="9">
        <v>0.5</v>
      </c>
      <c r="K23" s="9">
        <v>0.1</v>
      </c>
      <c r="L23" s="9">
        <v>1818</v>
      </c>
      <c r="M23" s="10" t="s">
        <v>319</v>
      </c>
    </row>
    <row r="24" spans="1:13">
      <c r="A24" s="5">
        <v>14</v>
      </c>
      <c r="B24" s="6" t="s">
        <v>320</v>
      </c>
      <c r="C24" s="6">
        <v>13.11</v>
      </c>
      <c r="D24" s="6">
        <v>285</v>
      </c>
      <c r="E24" s="6">
        <v>1674</v>
      </c>
      <c r="F24" s="6">
        <v>686</v>
      </c>
      <c r="G24" s="6">
        <v>24</v>
      </c>
      <c r="H24" s="6">
        <v>0.4</v>
      </c>
      <c r="I24" s="6">
        <v>94</v>
      </c>
      <c r="J24" s="6">
        <v>0.5</v>
      </c>
      <c r="K24" s="6">
        <v>0.1</v>
      </c>
      <c r="L24" s="6">
        <v>1818</v>
      </c>
      <c r="M24" s="7" t="s">
        <v>321</v>
      </c>
    </row>
    <row r="25" spans="1:13">
      <c r="A25" s="15">
        <v>15</v>
      </c>
      <c r="B25" s="16" t="s">
        <v>322</v>
      </c>
      <c r="C25" s="16">
        <v>13.85</v>
      </c>
      <c r="D25" s="16">
        <v>287</v>
      </c>
      <c r="E25" s="16">
        <v>2185</v>
      </c>
      <c r="F25" s="16">
        <v>511</v>
      </c>
      <c r="G25" s="16">
        <v>24</v>
      </c>
      <c r="H25" s="16">
        <v>0.4</v>
      </c>
      <c r="I25" s="16">
        <v>98</v>
      </c>
      <c r="J25" s="16">
        <v>0.6</v>
      </c>
      <c r="K25" s="16">
        <v>-0.1</v>
      </c>
      <c r="L25" s="16">
        <v>1818</v>
      </c>
      <c r="M25" s="17" t="s">
        <v>323</v>
      </c>
    </row>
    <row r="26" spans="1:13">
      <c r="A26" s="5">
        <v>16</v>
      </c>
      <c r="B26" s="6" t="s">
        <v>322</v>
      </c>
      <c r="C26" s="6">
        <v>13.85</v>
      </c>
      <c r="D26" s="6">
        <v>274</v>
      </c>
      <c r="E26" s="6">
        <v>2247</v>
      </c>
      <c r="F26" s="6">
        <v>62</v>
      </c>
      <c r="G26" s="6">
        <v>24</v>
      </c>
      <c r="H26" s="6">
        <v>0</v>
      </c>
      <c r="I26" s="6">
        <v>92</v>
      </c>
      <c r="J26" s="6">
        <v>0.6</v>
      </c>
      <c r="K26" s="6">
        <v>0.1</v>
      </c>
      <c r="L26" s="6">
        <v>1818</v>
      </c>
      <c r="M26" s="7" t="s">
        <v>324</v>
      </c>
    </row>
    <row r="27" spans="1:13">
      <c r="A27" s="8">
        <v>17</v>
      </c>
      <c r="B27" s="9" t="s">
        <v>325</v>
      </c>
      <c r="C27" s="9">
        <v>12.84</v>
      </c>
      <c r="D27" s="9">
        <v>1</v>
      </c>
      <c r="E27" s="9">
        <v>2262</v>
      </c>
      <c r="F27" s="9">
        <v>15</v>
      </c>
      <c r="G27" s="9">
        <v>24</v>
      </c>
      <c r="H27" s="9">
        <v>1</v>
      </c>
      <c r="I27" s="9">
        <v>91</v>
      </c>
      <c r="J27" s="9">
        <v>0.5</v>
      </c>
      <c r="K27" s="9">
        <v>0</v>
      </c>
      <c r="L27" s="9">
        <v>1818</v>
      </c>
      <c r="M27" s="10" t="s">
        <v>326</v>
      </c>
    </row>
    <row r="28" spans="1:13">
      <c r="A28" s="5">
        <v>18</v>
      </c>
      <c r="B28" s="6" t="s">
        <v>327</v>
      </c>
      <c r="C28" s="6">
        <v>11.84</v>
      </c>
      <c r="D28" s="6">
        <v>1</v>
      </c>
      <c r="E28" s="6">
        <v>2263</v>
      </c>
      <c r="F28" s="6">
        <v>1</v>
      </c>
      <c r="G28" s="6">
        <v>24</v>
      </c>
      <c r="H28" s="6">
        <v>1</v>
      </c>
      <c r="I28" s="6">
        <v>86</v>
      </c>
      <c r="J28" s="6">
        <v>0.5</v>
      </c>
      <c r="K28" s="6">
        <v>0</v>
      </c>
      <c r="L28" s="6">
        <v>1818</v>
      </c>
      <c r="M28" s="7" t="s">
        <v>328</v>
      </c>
    </row>
    <row r="29" spans="1:13">
      <c r="A29" s="8">
        <v>19</v>
      </c>
      <c r="B29" s="9" t="s">
        <v>329</v>
      </c>
      <c r="C29" s="9">
        <v>10.84</v>
      </c>
      <c r="D29" s="9">
        <v>1</v>
      </c>
      <c r="E29" s="9">
        <v>2263</v>
      </c>
      <c r="F29" s="9">
        <v>0</v>
      </c>
      <c r="G29" s="9">
        <v>24</v>
      </c>
      <c r="H29" s="9">
        <v>1.2</v>
      </c>
      <c r="I29" s="9">
        <v>86</v>
      </c>
      <c r="J29" s="9">
        <v>0.6</v>
      </c>
      <c r="K29" s="9">
        <v>0.1</v>
      </c>
      <c r="L29" s="9">
        <v>1818</v>
      </c>
      <c r="M29" s="10" t="s">
        <v>330</v>
      </c>
    </row>
    <row r="30" spans="1:13">
      <c r="A30" s="5">
        <v>20</v>
      </c>
      <c r="B30" s="6" t="s">
        <v>329</v>
      </c>
      <c r="C30" s="6">
        <v>9.83</v>
      </c>
      <c r="D30" s="6">
        <v>1</v>
      </c>
      <c r="E30" s="6">
        <v>2264</v>
      </c>
      <c r="F30" s="6">
        <v>1</v>
      </c>
      <c r="G30" s="6">
        <v>24</v>
      </c>
      <c r="H30" s="6">
        <v>1.6</v>
      </c>
      <c r="I30" s="6">
        <v>86</v>
      </c>
      <c r="J30" s="6">
        <v>0.5</v>
      </c>
      <c r="K30" s="6">
        <v>0.1</v>
      </c>
      <c r="L30" s="6">
        <v>1818</v>
      </c>
      <c r="M30" s="7" t="s">
        <v>331</v>
      </c>
    </row>
    <row r="31" spans="1:13">
      <c r="A31" s="8">
        <v>21</v>
      </c>
      <c r="B31" s="9" t="s">
        <v>332</v>
      </c>
      <c r="C31" s="9">
        <v>8.83</v>
      </c>
      <c r="D31" s="9">
        <v>1</v>
      </c>
      <c r="E31" s="9">
        <v>2264</v>
      </c>
      <c r="F31" s="9">
        <v>0</v>
      </c>
      <c r="G31" s="9">
        <v>0</v>
      </c>
      <c r="H31" s="9">
        <v>1.7</v>
      </c>
      <c r="I31" s="9">
        <v>0</v>
      </c>
      <c r="J31" s="9">
        <v>0.5</v>
      </c>
      <c r="K31" s="9">
        <v>0.1</v>
      </c>
      <c r="L31" s="9">
        <v>1818</v>
      </c>
      <c r="M31" s="10" t="s">
        <v>333</v>
      </c>
    </row>
    <row r="32" spans="1:13">
      <c r="A32" s="5">
        <v>22</v>
      </c>
      <c r="B32" s="6" t="s">
        <v>334</v>
      </c>
      <c r="C32" s="6">
        <v>7.83</v>
      </c>
      <c r="D32" s="6">
        <v>0</v>
      </c>
      <c r="E32" s="6">
        <v>2265</v>
      </c>
      <c r="F32" s="6">
        <v>1</v>
      </c>
      <c r="G32" s="6">
        <v>0</v>
      </c>
      <c r="H32" s="6">
        <v>1.7</v>
      </c>
      <c r="I32" s="6">
        <v>0</v>
      </c>
      <c r="J32" s="6">
        <v>0.6</v>
      </c>
      <c r="K32" s="6">
        <v>0</v>
      </c>
      <c r="L32" s="6">
        <v>1818</v>
      </c>
      <c r="M32" s="7" t="s">
        <v>335</v>
      </c>
    </row>
    <row r="33" spans="1:13">
      <c r="A33" s="8">
        <v>23</v>
      </c>
      <c r="B33" s="9" t="s">
        <v>334</v>
      </c>
      <c r="C33" s="9">
        <v>6.82</v>
      </c>
      <c r="D33" s="9">
        <v>1</v>
      </c>
      <c r="E33" s="9">
        <v>2265</v>
      </c>
      <c r="F33" s="9">
        <v>0</v>
      </c>
      <c r="G33" s="9">
        <v>0</v>
      </c>
      <c r="H33" s="9">
        <v>1.7</v>
      </c>
      <c r="I33" s="9">
        <v>0</v>
      </c>
      <c r="J33" s="9">
        <v>0.5</v>
      </c>
      <c r="K33" s="9">
        <v>0.3</v>
      </c>
      <c r="L33" s="9">
        <v>1818</v>
      </c>
      <c r="M33" s="10" t="s">
        <v>336</v>
      </c>
    </row>
    <row r="34" spans="1:13">
      <c r="A34" s="5">
        <v>24</v>
      </c>
      <c r="B34" s="6" t="s">
        <v>337</v>
      </c>
      <c r="C34" s="6">
        <v>5.8</v>
      </c>
      <c r="D34" s="6">
        <v>1</v>
      </c>
      <c r="E34" s="6">
        <v>2266</v>
      </c>
      <c r="F34" s="6">
        <v>1</v>
      </c>
      <c r="G34" s="6">
        <v>0</v>
      </c>
      <c r="H34" s="6">
        <v>3.1</v>
      </c>
      <c r="I34" s="6">
        <v>0</v>
      </c>
      <c r="J34" s="6">
        <v>0.6</v>
      </c>
      <c r="K34" s="6">
        <v>0.3</v>
      </c>
      <c r="L34" s="6">
        <v>1818</v>
      </c>
      <c r="M34" s="7" t="s">
        <v>338</v>
      </c>
    </row>
    <row r="35" spans="1:13">
      <c r="A35" s="8">
        <v>25</v>
      </c>
      <c r="B35" s="9" t="s">
        <v>337</v>
      </c>
      <c r="C35" s="9">
        <v>4.8</v>
      </c>
      <c r="D35" s="9">
        <v>1</v>
      </c>
      <c r="E35" s="9">
        <v>2266</v>
      </c>
      <c r="F35" s="9">
        <v>0</v>
      </c>
      <c r="G35" s="9">
        <v>0</v>
      </c>
      <c r="H35" s="9">
        <v>3.1</v>
      </c>
      <c r="I35" s="9">
        <v>0</v>
      </c>
      <c r="J35" s="9">
        <v>0.6</v>
      </c>
      <c r="K35" s="9">
        <v>0.3</v>
      </c>
      <c r="L35" s="9">
        <v>1818</v>
      </c>
      <c r="M35" s="10" t="s">
        <v>339</v>
      </c>
    </row>
    <row r="36" spans="1:13">
      <c r="A36" s="5">
        <v>26</v>
      </c>
      <c r="B36" s="6" t="s">
        <v>337</v>
      </c>
      <c r="C36" s="6">
        <v>3.8</v>
      </c>
      <c r="D36" s="6">
        <v>1</v>
      </c>
      <c r="E36" s="6">
        <v>2266</v>
      </c>
      <c r="F36" s="6">
        <v>0</v>
      </c>
      <c r="G36" s="6">
        <v>0</v>
      </c>
      <c r="H36" s="6">
        <v>3</v>
      </c>
      <c r="I36" s="6">
        <v>0</v>
      </c>
      <c r="J36" s="6">
        <v>0.5</v>
      </c>
      <c r="K36" s="6">
        <v>0.3</v>
      </c>
      <c r="L36" s="6">
        <v>1818</v>
      </c>
      <c r="M36" s="7" t="s">
        <v>340</v>
      </c>
    </row>
    <row r="37" spans="1:13">
      <c r="A37" s="8">
        <v>27</v>
      </c>
      <c r="B37" s="9" t="s">
        <v>341</v>
      </c>
      <c r="C37" s="9">
        <v>2.79</v>
      </c>
      <c r="D37" s="9">
        <v>0</v>
      </c>
      <c r="E37" s="9">
        <v>2266</v>
      </c>
      <c r="F37" s="9">
        <v>0</v>
      </c>
      <c r="G37" s="9">
        <v>0</v>
      </c>
      <c r="H37" s="9">
        <v>3.2</v>
      </c>
      <c r="I37" s="9">
        <v>0</v>
      </c>
      <c r="J37" s="9">
        <v>0.5</v>
      </c>
      <c r="K37" s="9">
        <v>0.3</v>
      </c>
      <c r="L37" s="9">
        <v>1818</v>
      </c>
      <c r="M37" s="10" t="s">
        <v>342</v>
      </c>
    </row>
    <row r="38" spans="1:13">
      <c r="A38" s="5">
        <v>28</v>
      </c>
      <c r="B38" s="6" t="s">
        <v>341</v>
      </c>
      <c r="C38" s="6">
        <v>1.78</v>
      </c>
      <c r="D38" s="6">
        <v>1</v>
      </c>
      <c r="E38" s="6">
        <v>2267</v>
      </c>
      <c r="F38" s="6">
        <v>1</v>
      </c>
      <c r="G38" s="6">
        <v>0</v>
      </c>
      <c r="H38" s="6">
        <v>3.1</v>
      </c>
      <c r="I38" s="6">
        <v>0</v>
      </c>
      <c r="J38" s="6">
        <v>0.6</v>
      </c>
      <c r="K38" s="6">
        <v>0.3</v>
      </c>
      <c r="L38" s="6">
        <v>1818</v>
      </c>
      <c r="M38" s="7" t="s">
        <v>343</v>
      </c>
    </row>
    <row r="39" spans="1:13">
      <c r="A39" s="11">
        <v>29</v>
      </c>
      <c r="B39" s="12" t="s">
        <v>341</v>
      </c>
      <c r="C39" s="12">
        <v>0.78</v>
      </c>
      <c r="D39" s="12">
        <v>1</v>
      </c>
      <c r="E39" s="12">
        <v>2267</v>
      </c>
      <c r="F39" s="12">
        <v>0</v>
      </c>
      <c r="G39" s="12">
        <v>0</v>
      </c>
      <c r="H39" s="12">
        <v>3.1</v>
      </c>
      <c r="I39" s="12">
        <v>0</v>
      </c>
      <c r="J39" s="12">
        <v>0.6</v>
      </c>
      <c r="K39" s="12">
        <v>0.3</v>
      </c>
      <c r="L39" s="12">
        <v>1818</v>
      </c>
      <c r="M39" s="13" t="s">
        <v>344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426D-809B-4725-9F58-1EF9CC0E9F8F}">
  <dimension ref="A1:O39"/>
  <sheetViews>
    <sheetView zoomScale="85" zoomScaleNormal="85" workbookViewId="0">
      <selection activeCell="O14" sqref="O14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5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5">
      <c r="A3" s="8" t="s">
        <v>14</v>
      </c>
      <c r="B3" s="9" t="s">
        <v>248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5">
      <c r="A4" s="5" t="s">
        <v>18</v>
      </c>
      <c r="B4" s="6" t="s">
        <v>249</v>
      </c>
      <c r="C4" s="6" t="s">
        <v>13</v>
      </c>
      <c r="D4" s="6" t="s">
        <v>13</v>
      </c>
      <c r="E4" s="6" t="s">
        <v>19</v>
      </c>
      <c r="F4" s="6" t="s">
        <v>249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5">
      <c r="A5" s="8" t="s">
        <v>20</v>
      </c>
      <c r="B5" s="9" t="s">
        <v>250</v>
      </c>
      <c r="C5" s="9" t="s">
        <v>13</v>
      </c>
      <c r="D5" s="9" t="s">
        <v>13</v>
      </c>
      <c r="E5" s="9" t="s">
        <v>22</v>
      </c>
      <c r="F5" s="9" t="s">
        <v>251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5">
      <c r="A6" s="5" t="s">
        <v>24</v>
      </c>
      <c r="B6" s="6" t="s">
        <v>25</v>
      </c>
      <c r="C6" s="6" t="s">
        <v>252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5">
      <c r="A7" s="8" t="s">
        <v>27</v>
      </c>
      <c r="B7" s="9" t="s">
        <v>25</v>
      </c>
      <c r="C7" s="9" t="s">
        <v>253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5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5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5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  <c r="N10" s="1" t="s">
        <v>124</v>
      </c>
      <c r="O10">
        <f>13.76-3</f>
        <v>10.76</v>
      </c>
    </row>
    <row r="11" spans="1:15">
      <c r="A11" s="8">
        <v>1</v>
      </c>
      <c r="B11" s="9" t="s">
        <v>254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1718</v>
      </c>
      <c r="M11" s="10" t="s">
        <v>255</v>
      </c>
      <c r="N11" t="s">
        <v>127</v>
      </c>
      <c r="O11">
        <f>SUM(F22:F28)</f>
        <v>2321</v>
      </c>
    </row>
    <row r="12" spans="1:15">
      <c r="A12" s="5">
        <v>2</v>
      </c>
      <c r="B12" s="6" t="s">
        <v>254</v>
      </c>
      <c r="C12" s="6">
        <v>1.02</v>
      </c>
      <c r="D12" s="6">
        <v>1</v>
      </c>
      <c r="E12" s="6">
        <v>1</v>
      </c>
      <c r="F12" s="6">
        <v>1</v>
      </c>
      <c r="G12" s="6">
        <v>0</v>
      </c>
      <c r="H12" s="6">
        <v>4.2</v>
      </c>
      <c r="I12" s="6">
        <v>0</v>
      </c>
      <c r="J12" s="6">
        <v>0.5</v>
      </c>
      <c r="K12" s="6">
        <v>0.1</v>
      </c>
      <c r="L12" s="6">
        <v>1718</v>
      </c>
      <c r="M12" s="7" t="s">
        <v>255</v>
      </c>
      <c r="N12" t="s">
        <v>125</v>
      </c>
      <c r="O12">
        <f>AVERAGE(H21:H25)</f>
        <v>1.0800000000000003</v>
      </c>
    </row>
    <row r="13" spans="1:15">
      <c r="A13" s="8">
        <v>3</v>
      </c>
      <c r="B13" s="9" t="s">
        <v>256</v>
      </c>
      <c r="C13" s="9">
        <v>2.0299999999999998</v>
      </c>
      <c r="D13" s="9">
        <v>1</v>
      </c>
      <c r="E13" s="9">
        <v>2</v>
      </c>
      <c r="F13" s="9">
        <v>1</v>
      </c>
      <c r="G13" s="9">
        <v>0</v>
      </c>
      <c r="H13" s="9">
        <v>4.2</v>
      </c>
      <c r="I13" s="9">
        <v>0</v>
      </c>
      <c r="J13" s="9">
        <v>0.4</v>
      </c>
      <c r="K13" s="9">
        <v>0.1</v>
      </c>
      <c r="L13" s="9">
        <v>1718</v>
      </c>
      <c r="M13" s="10" t="s">
        <v>257</v>
      </c>
      <c r="N13" t="s">
        <v>126</v>
      </c>
      <c r="O13">
        <f>AVERAGE(H26:H29)</f>
        <v>0.72499999999999998</v>
      </c>
    </row>
    <row r="14" spans="1:15">
      <c r="A14" s="5">
        <v>4</v>
      </c>
      <c r="B14" s="6" t="s">
        <v>256</v>
      </c>
      <c r="C14" s="6">
        <v>3.07</v>
      </c>
      <c r="D14" s="6">
        <v>1</v>
      </c>
      <c r="E14" s="6">
        <v>2</v>
      </c>
      <c r="F14" s="6">
        <v>0</v>
      </c>
      <c r="G14" s="6">
        <v>0</v>
      </c>
      <c r="H14" s="6">
        <v>4.4000000000000004</v>
      </c>
      <c r="I14" s="6">
        <v>0</v>
      </c>
      <c r="J14" s="6">
        <v>0.4</v>
      </c>
      <c r="K14" s="6">
        <v>0.1</v>
      </c>
      <c r="L14" s="6">
        <v>1718</v>
      </c>
      <c r="M14" s="7" t="s">
        <v>259</v>
      </c>
    </row>
    <row r="15" spans="1:15">
      <c r="A15" s="8">
        <v>5</v>
      </c>
      <c r="B15" s="9" t="s">
        <v>256</v>
      </c>
      <c r="C15" s="9">
        <v>4.08</v>
      </c>
      <c r="D15" s="9">
        <v>1</v>
      </c>
      <c r="E15" s="9">
        <v>2</v>
      </c>
      <c r="F15" s="9">
        <v>0</v>
      </c>
      <c r="G15" s="9">
        <v>0</v>
      </c>
      <c r="H15" s="9">
        <v>4.2</v>
      </c>
      <c r="I15" s="9">
        <v>0</v>
      </c>
      <c r="J15" s="9">
        <v>0.4</v>
      </c>
      <c r="K15" s="9">
        <v>0.1</v>
      </c>
      <c r="L15" s="9">
        <v>1718</v>
      </c>
      <c r="M15" s="10" t="s">
        <v>260</v>
      </c>
    </row>
    <row r="16" spans="1:15">
      <c r="A16" s="5">
        <v>6</v>
      </c>
      <c r="B16" s="6" t="s">
        <v>256</v>
      </c>
      <c r="C16" s="6">
        <v>5.09</v>
      </c>
      <c r="D16" s="6">
        <v>0</v>
      </c>
      <c r="E16" s="6">
        <v>2</v>
      </c>
      <c r="F16" s="6">
        <v>0</v>
      </c>
      <c r="G16" s="6">
        <v>0</v>
      </c>
      <c r="H16" s="6">
        <v>4.2</v>
      </c>
      <c r="I16" s="6">
        <v>0</v>
      </c>
      <c r="J16" s="6">
        <v>0.5</v>
      </c>
      <c r="K16" s="6">
        <v>0.1</v>
      </c>
      <c r="L16" s="6">
        <v>1718</v>
      </c>
      <c r="M16" s="7" t="s">
        <v>261</v>
      </c>
    </row>
    <row r="17" spans="1:13">
      <c r="A17" s="8">
        <v>7</v>
      </c>
      <c r="B17" s="9" t="s">
        <v>262</v>
      </c>
      <c r="C17" s="9">
        <v>6.11</v>
      </c>
      <c r="D17" s="9">
        <v>1</v>
      </c>
      <c r="E17" s="9">
        <v>2</v>
      </c>
      <c r="F17" s="9">
        <v>0</v>
      </c>
      <c r="G17" s="9">
        <v>0</v>
      </c>
      <c r="H17" s="9">
        <v>4.2</v>
      </c>
      <c r="I17" s="9">
        <v>0</v>
      </c>
      <c r="J17" s="9">
        <v>0.4</v>
      </c>
      <c r="K17" s="9">
        <v>0</v>
      </c>
      <c r="L17" s="9">
        <v>1718</v>
      </c>
      <c r="M17" s="10" t="s">
        <v>263</v>
      </c>
    </row>
    <row r="18" spans="1:13">
      <c r="A18" s="5">
        <v>8</v>
      </c>
      <c r="B18" s="6" t="s">
        <v>262</v>
      </c>
      <c r="C18" s="6">
        <v>7.12</v>
      </c>
      <c r="D18" s="6">
        <v>1</v>
      </c>
      <c r="E18" s="6">
        <v>3</v>
      </c>
      <c r="F18" s="6">
        <v>1</v>
      </c>
      <c r="G18" s="6">
        <v>0</v>
      </c>
      <c r="H18" s="6">
        <v>4.2</v>
      </c>
      <c r="I18" s="6">
        <v>0</v>
      </c>
      <c r="J18" s="6">
        <v>0.6</v>
      </c>
      <c r="K18" s="6">
        <v>0.1</v>
      </c>
      <c r="L18" s="6">
        <v>1718</v>
      </c>
      <c r="M18" s="7" t="s">
        <v>264</v>
      </c>
    </row>
    <row r="19" spans="1:13">
      <c r="A19" s="8">
        <v>9</v>
      </c>
      <c r="B19" s="9" t="s">
        <v>262</v>
      </c>
      <c r="C19" s="9">
        <v>8.14</v>
      </c>
      <c r="D19" s="9">
        <v>0</v>
      </c>
      <c r="E19" s="9">
        <v>3</v>
      </c>
      <c r="F19" s="9">
        <v>0</v>
      </c>
      <c r="G19" s="9">
        <v>0</v>
      </c>
      <c r="H19" s="9">
        <v>4.0999999999999996</v>
      </c>
      <c r="I19" s="9">
        <v>0</v>
      </c>
      <c r="J19" s="9">
        <v>0.4</v>
      </c>
      <c r="K19" s="9">
        <v>0.1</v>
      </c>
      <c r="L19" s="9">
        <v>1718</v>
      </c>
      <c r="M19" s="10" t="s">
        <v>265</v>
      </c>
    </row>
    <row r="20" spans="1:13">
      <c r="A20" s="5">
        <v>10</v>
      </c>
      <c r="B20" s="6" t="s">
        <v>262</v>
      </c>
      <c r="C20" s="6">
        <v>9.16</v>
      </c>
      <c r="D20" s="6">
        <v>0</v>
      </c>
      <c r="E20" s="6">
        <v>3</v>
      </c>
      <c r="F20" s="6">
        <v>0</v>
      </c>
      <c r="G20" s="6">
        <v>24</v>
      </c>
      <c r="H20" s="6">
        <v>4</v>
      </c>
      <c r="I20" s="6">
        <v>86</v>
      </c>
      <c r="J20" s="6">
        <v>0.4</v>
      </c>
      <c r="K20" s="6">
        <v>0.1</v>
      </c>
      <c r="L20" s="6">
        <v>1718</v>
      </c>
      <c r="M20" s="7" t="s">
        <v>266</v>
      </c>
    </row>
    <row r="21" spans="1:13">
      <c r="A21" s="15">
        <v>11</v>
      </c>
      <c r="B21" s="16" t="s">
        <v>267</v>
      </c>
      <c r="C21" s="16">
        <v>10.16</v>
      </c>
      <c r="D21" s="16">
        <v>1</v>
      </c>
      <c r="E21" s="16">
        <v>3</v>
      </c>
      <c r="F21" s="16">
        <v>0</v>
      </c>
      <c r="G21" s="16">
        <v>24</v>
      </c>
      <c r="H21" s="16">
        <v>3.9</v>
      </c>
      <c r="I21" s="16">
        <v>85</v>
      </c>
      <c r="J21" s="16">
        <v>0.5</v>
      </c>
      <c r="K21" s="16">
        <v>0.1</v>
      </c>
      <c r="L21" s="16">
        <v>1718</v>
      </c>
      <c r="M21" s="17" t="s">
        <v>268</v>
      </c>
    </row>
    <row r="22" spans="1:13">
      <c r="A22" s="5">
        <v>12</v>
      </c>
      <c r="B22" s="6" t="s">
        <v>269</v>
      </c>
      <c r="C22" s="6">
        <v>11.16</v>
      </c>
      <c r="D22" s="6">
        <v>289</v>
      </c>
      <c r="E22" s="6">
        <v>396</v>
      </c>
      <c r="F22" s="6">
        <v>393</v>
      </c>
      <c r="G22" s="6">
        <v>24</v>
      </c>
      <c r="H22" s="6">
        <v>0.3</v>
      </c>
      <c r="I22" s="6">
        <v>87</v>
      </c>
      <c r="J22" s="6">
        <v>0.4</v>
      </c>
      <c r="K22" s="6">
        <v>0.1</v>
      </c>
      <c r="L22" s="6">
        <v>1718</v>
      </c>
      <c r="M22" s="7" t="s">
        <v>270</v>
      </c>
    </row>
    <row r="23" spans="1:13">
      <c r="A23" s="8">
        <v>13</v>
      </c>
      <c r="B23" s="9" t="s">
        <v>271</v>
      </c>
      <c r="C23" s="9">
        <v>12.16</v>
      </c>
      <c r="D23" s="9">
        <v>287</v>
      </c>
      <c r="E23" s="9">
        <v>1114</v>
      </c>
      <c r="F23" s="9">
        <v>718</v>
      </c>
      <c r="G23" s="9">
        <v>24</v>
      </c>
      <c r="H23" s="9">
        <v>0.4</v>
      </c>
      <c r="I23" s="9">
        <v>92</v>
      </c>
      <c r="J23" s="9">
        <v>0.4</v>
      </c>
      <c r="K23" s="9">
        <v>0.2</v>
      </c>
      <c r="L23" s="9">
        <v>1718</v>
      </c>
      <c r="M23" s="10" t="s">
        <v>272</v>
      </c>
    </row>
    <row r="24" spans="1:13">
      <c r="A24" s="5">
        <v>14</v>
      </c>
      <c r="B24" s="6" t="s">
        <v>273</v>
      </c>
      <c r="C24" s="6">
        <v>13.16</v>
      </c>
      <c r="D24" s="6">
        <v>286</v>
      </c>
      <c r="E24" s="6">
        <v>1816</v>
      </c>
      <c r="F24" s="6">
        <v>702</v>
      </c>
      <c r="G24" s="6">
        <v>24</v>
      </c>
      <c r="H24" s="6">
        <v>0.4</v>
      </c>
      <c r="I24" s="6">
        <v>92</v>
      </c>
      <c r="J24" s="6">
        <v>0.5</v>
      </c>
      <c r="K24" s="6">
        <v>0.1</v>
      </c>
      <c r="L24" s="6">
        <v>1718</v>
      </c>
      <c r="M24" s="7" t="s">
        <v>274</v>
      </c>
    </row>
    <row r="25" spans="1:13">
      <c r="A25" s="15">
        <v>15</v>
      </c>
      <c r="B25" s="16" t="s">
        <v>275</v>
      </c>
      <c r="C25" s="16">
        <v>13.76</v>
      </c>
      <c r="D25" s="16">
        <v>285</v>
      </c>
      <c r="E25" s="16">
        <v>2260</v>
      </c>
      <c r="F25" s="16">
        <v>444</v>
      </c>
      <c r="G25" s="16">
        <v>24</v>
      </c>
      <c r="H25" s="16">
        <v>0.4</v>
      </c>
      <c r="I25" s="16">
        <v>97</v>
      </c>
      <c r="J25" s="16">
        <v>0.4</v>
      </c>
      <c r="K25" s="16">
        <v>0.1</v>
      </c>
      <c r="L25" s="16">
        <v>1718</v>
      </c>
      <c r="M25" s="17" t="s">
        <v>276</v>
      </c>
    </row>
    <row r="26" spans="1:13">
      <c r="A26" s="5">
        <v>16</v>
      </c>
      <c r="B26" s="6" t="s">
        <v>275</v>
      </c>
      <c r="C26" s="6">
        <v>13.76</v>
      </c>
      <c r="D26" s="6">
        <v>277</v>
      </c>
      <c r="E26" s="6">
        <v>2278</v>
      </c>
      <c r="F26" s="6">
        <v>18</v>
      </c>
      <c r="G26" s="6">
        <v>24</v>
      </c>
      <c r="H26" s="6">
        <v>0</v>
      </c>
      <c r="I26" s="6">
        <v>94</v>
      </c>
      <c r="J26" s="6">
        <v>0.4</v>
      </c>
      <c r="K26" s="6">
        <v>0.1</v>
      </c>
      <c r="L26" s="6">
        <v>1718</v>
      </c>
      <c r="M26" s="7" t="s">
        <v>277</v>
      </c>
    </row>
    <row r="27" spans="1:13">
      <c r="A27" s="8">
        <v>17</v>
      </c>
      <c r="B27" s="9" t="s">
        <v>278</v>
      </c>
      <c r="C27" s="9">
        <v>12.76</v>
      </c>
      <c r="D27" s="9">
        <v>17</v>
      </c>
      <c r="E27" s="9">
        <v>2314</v>
      </c>
      <c r="F27" s="9">
        <v>36</v>
      </c>
      <c r="G27" s="9">
        <v>24</v>
      </c>
      <c r="H27" s="9">
        <v>0.9</v>
      </c>
      <c r="I27" s="9">
        <v>90</v>
      </c>
      <c r="J27" s="9">
        <v>0.5</v>
      </c>
      <c r="K27" s="9">
        <v>0.1</v>
      </c>
      <c r="L27" s="9">
        <v>1718</v>
      </c>
      <c r="M27" s="10" t="s">
        <v>279</v>
      </c>
    </row>
    <row r="28" spans="1:13">
      <c r="A28" s="5">
        <v>18</v>
      </c>
      <c r="B28" s="6" t="s">
        <v>280</v>
      </c>
      <c r="C28" s="6">
        <v>11.76</v>
      </c>
      <c r="D28" s="6">
        <v>1</v>
      </c>
      <c r="E28" s="6">
        <v>2324</v>
      </c>
      <c r="F28" s="6">
        <v>10</v>
      </c>
      <c r="G28" s="6">
        <v>24</v>
      </c>
      <c r="H28" s="6">
        <v>1</v>
      </c>
      <c r="I28" s="6">
        <v>86</v>
      </c>
      <c r="J28" s="6">
        <v>0.5</v>
      </c>
      <c r="K28" s="6">
        <v>0.1</v>
      </c>
      <c r="L28" s="6">
        <v>1718</v>
      </c>
      <c r="M28" s="7" t="s">
        <v>281</v>
      </c>
    </row>
    <row r="29" spans="1:13">
      <c r="A29" s="8">
        <v>19</v>
      </c>
      <c r="B29" s="9" t="s">
        <v>282</v>
      </c>
      <c r="C29" s="9">
        <v>10.76</v>
      </c>
      <c r="D29" s="9">
        <v>1</v>
      </c>
      <c r="E29" s="9">
        <v>2324</v>
      </c>
      <c r="F29" s="9">
        <v>0</v>
      </c>
      <c r="G29" s="9">
        <v>24</v>
      </c>
      <c r="H29" s="9">
        <v>1</v>
      </c>
      <c r="I29" s="9">
        <v>86</v>
      </c>
      <c r="J29" s="9">
        <v>0.5</v>
      </c>
      <c r="K29" s="9">
        <v>0</v>
      </c>
      <c r="L29" s="9">
        <v>1718</v>
      </c>
      <c r="M29" s="10" t="s">
        <v>283</v>
      </c>
    </row>
    <row r="30" spans="1:13">
      <c r="A30" s="5">
        <v>20</v>
      </c>
      <c r="B30" s="6" t="s">
        <v>284</v>
      </c>
      <c r="C30" s="6">
        <v>9.76</v>
      </c>
      <c r="D30" s="6">
        <v>1</v>
      </c>
      <c r="E30" s="6">
        <v>2325</v>
      </c>
      <c r="F30" s="6">
        <v>1</v>
      </c>
      <c r="G30" s="6">
        <v>24</v>
      </c>
      <c r="H30" s="6">
        <v>1.9</v>
      </c>
      <c r="I30" s="6">
        <v>86</v>
      </c>
      <c r="J30" s="6">
        <v>0.5</v>
      </c>
      <c r="K30" s="6">
        <v>0</v>
      </c>
      <c r="L30" s="6">
        <v>1718</v>
      </c>
      <c r="M30" s="7" t="s">
        <v>285</v>
      </c>
    </row>
    <row r="31" spans="1:13">
      <c r="A31" s="8">
        <v>21</v>
      </c>
      <c r="B31" s="9" t="s">
        <v>284</v>
      </c>
      <c r="C31" s="9">
        <v>8.76</v>
      </c>
      <c r="D31" s="9">
        <v>0</v>
      </c>
      <c r="E31" s="9">
        <v>2325</v>
      </c>
      <c r="F31" s="9">
        <v>0</v>
      </c>
      <c r="G31" s="9">
        <v>24</v>
      </c>
      <c r="H31" s="9">
        <v>3</v>
      </c>
      <c r="I31" s="9">
        <v>86</v>
      </c>
      <c r="J31" s="9">
        <v>0.6</v>
      </c>
      <c r="K31" s="9">
        <v>0.1</v>
      </c>
      <c r="L31" s="9">
        <v>1718</v>
      </c>
      <c r="M31" s="10" t="s">
        <v>286</v>
      </c>
    </row>
    <row r="32" spans="1:13">
      <c r="A32" s="5">
        <v>22</v>
      </c>
      <c r="B32" s="6" t="s">
        <v>287</v>
      </c>
      <c r="C32" s="6">
        <v>7.75</v>
      </c>
      <c r="D32" s="6">
        <v>0</v>
      </c>
      <c r="E32" s="6">
        <v>2325</v>
      </c>
      <c r="F32" s="6">
        <v>0</v>
      </c>
      <c r="G32" s="6">
        <v>0</v>
      </c>
      <c r="H32" s="6">
        <v>3.1</v>
      </c>
      <c r="I32" s="6">
        <v>0</v>
      </c>
      <c r="J32" s="6">
        <v>0.5</v>
      </c>
      <c r="K32" s="6">
        <v>0.3</v>
      </c>
      <c r="L32" s="6">
        <v>1718</v>
      </c>
      <c r="M32" s="7" t="s">
        <v>288</v>
      </c>
    </row>
    <row r="33" spans="1:13">
      <c r="A33" s="8">
        <v>23</v>
      </c>
      <c r="B33" s="9" t="s">
        <v>287</v>
      </c>
      <c r="C33" s="9">
        <v>6.74</v>
      </c>
      <c r="D33" s="9">
        <v>0</v>
      </c>
      <c r="E33" s="9">
        <v>2326</v>
      </c>
      <c r="F33" s="9">
        <v>1</v>
      </c>
      <c r="G33" s="9">
        <v>0</v>
      </c>
      <c r="H33" s="9">
        <v>3</v>
      </c>
      <c r="I33" s="9">
        <v>0</v>
      </c>
      <c r="J33" s="9">
        <v>0.6</v>
      </c>
      <c r="K33" s="9">
        <v>0.4</v>
      </c>
      <c r="L33" s="9">
        <v>1718</v>
      </c>
      <c r="M33" s="10" t="s">
        <v>289</v>
      </c>
    </row>
    <row r="34" spans="1:13">
      <c r="A34" s="5">
        <v>24</v>
      </c>
      <c r="B34" s="6" t="s">
        <v>287</v>
      </c>
      <c r="C34" s="6">
        <v>5.74</v>
      </c>
      <c r="D34" s="6">
        <v>1</v>
      </c>
      <c r="E34" s="6">
        <v>2326</v>
      </c>
      <c r="F34" s="6">
        <v>0</v>
      </c>
      <c r="G34" s="6">
        <v>0</v>
      </c>
      <c r="H34" s="6">
        <v>3</v>
      </c>
      <c r="I34" s="6">
        <v>0</v>
      </c>
      <c r="J34" s="6">
        <v>0.5</v>
      </c>
      <c r="K34" s="6">
        <v>0.4</v>
      </c>
      <c r="L34" s="6">
        <v>1718</v>
      </c>
      <c r="M34" s="7" t="s">
        <v>290</v>
      </c>
    </row>
    <row r="35" spans="1:13">
      <c r="A35" s="8">
        <v>25</v>
      </c>
      <c r="B35" s="9" t="s">
        <v>291</v>
      </c>
      <c r="C35" s="9">
        <v>4.74</v>
      </c>
      <c r="D35" s="9">
        <v>1</v>
      </c>
      <c r="E35" s="9">
        <v>2326</v>
      </c>
      <c r="F35" s="9">
        <v>0</v>
      </c>
      <c r="G35" s="9">
        <v>0</v>
      </c>
      <c r="H35" s="9">
        <v>3</v>
      </c>
      <c r="I35" s="9">
        <v>0</v>
      </c>
      <c r="J35" s="9">
        <v>0.4</v>
      </c>
      <c r="K35" s="9">
        <v>0.3</v>
      </c>
      <c r="L35" s="9">
        <v>1718</v>
      </c>
      <c r="M35" s="10" t="s">
        <v>292</v>
      </c>
    </row>
    <row r="36" spans="1:13">
      <c r="A36" s="5">
        <v>26</v>
      </c>
      <c r="B36" s="6" t="s">
        <v>291</v>
      </c>
      <c r="C36" s="6">
        <v>3.73</v>
      </c>
      <c r="D36" s="6">
        <v>1</v>
      </c>
      <c r="E36" s="6">
        <v>2326</v>
      </c>
      <c r="F36" s="6">
        <v>0</v>
      </c>
      <c r="G36" s="6">
        <v>0</v>
      </c>
      <c r="H36" s="6">
        <v>3.1</v>
      </c>
      <c r="I36" s="6">
        <v>0</v>
      </c>
      <c r="J36" s="6">
        <v>0.5</v>
      </c>
      <c r="K36" s="6">
        <v>0.3</v>
      </c>
      <c r="L36" s="6">
        <v>1718</v>
      </c>
      <c r="M36" s="7" t="s">
        <v>293</v>
      </c>
    </row>
    <row r="37" spans="1:13">
      <c r="A37" s="8">
        <v>27</v>
      </c>
      <c r="B37" s="9" t="s">
        <v>291</v>
      </c>
      <c r="C37" s="9">
        <v>2.71</v>
      </c>
      <c r="D37" s="9">
        <v>0</v>
      </c>
      <c r="E37" s="9">
        <v>2326</v>
      </c>
      <c r="F37" s="9">
        <v>0</v>
      </c>
      <c r="G37" s="9">
        <v>0</v>
      </c>
      <c r="H37" s="9">
        <v>3</v>
      </c>
      <c r="I37" s="9">
        <v>0</v>
      </c>
      <c r="J37" s="9">
        <v>0.4</v>
      </c>
      <c r="K37" s="9">
        <v>0.3</v>
      </c>
      <c r="L37" s="9">
        <v>1718</v>
      </c>
      <c r="M37" s="10" t="s">
        <v>294</v>
      </c>
    </row>
    <row r="38" spans="1:13">
      <c r="A38" s="5">
        <v>28</v>
      </c>
      <c r="B38" s="6" t="s">
        <v>253</v>
      </c>
      <c r="C38" s="6">
        <v>1.7</v>
      </c>
      <c r="D38" s="6">
        <v>0</v>
      </c>
      <c r="E38" s="6">
        <v>2327</v>
      </c>
      <c r="F38" s="6">
        <v>1</v>
      </c>
      <c r="G38" s="6">
        <v>0</v>
      </c>
      <c r="H38" s="6">
        <v>3.2</v>
      </c>
      <c r="I38" s="6">
        <v>0</v>
      </c>
      <c r="J38" s="6">
        <v>0.4</v>
      </c>
      <c r="K38" s="6">
        <v>0.3</v>
      </c>
      <c r="L38" s="6">
        <v>1718</v>
      </c>
      <c r="M38" s="7" t="s">
        <v>295</v>
      </c>
    </row>
    <row r="39" spans="1:13">
      <c r="A39" s="11">
        <v>29</v>
      </c>
      <c r="B39" s="12" t="s">
        <v>253</v>
      </c>
      <c r="C39" s="12">
        <v>0.69</v>
      </c>
      <c r="D39" s="12">
        <v>1</v>
      </c>
      <c r="E39" s="12">
        <v>2327</v>
      </c>
      <c r="F39" s="12">
        <v>0</v>
      </c>
      <c r="G39" s="12">
        <v>0</v>
      </c>
      <c r="H39" s="12">
        <v>3.1</v>
      </c>
      <c r="I39" s="12">
        <v>0</v>
      </c>
      <c r="J39" s="12">
        <v>0.4</v>
      </c>
      <c r="K39" s="12">
        <v>0.4</v>
      </c>
      <c r="L39" s="12">
        <v>1718</v>
      </c>
      <c r="M39" s="13" t="s">
        <v>296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E367-0DA1-44EF-B89D-3780750C355A}">
  <dimension ref="A1:P40"/>
  <sheetViews>
    <sheetView topLeftCell="B7" zoomScale="85" zoomScaleNormal="85" workbookViewId="0">
      <selection activeCell="P19" sqref="P19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199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200</v>
      </c>
      <c r="C4" s="6" t="s">
        <v>13</v>
      </c>
      <c r="D4" s="6" t="s">
        <v>13</v>
      </c>
      <c r="E4" s="6" t="s">
        <v>19</v>
      </c>
      <c r="F4" s="6" t="s">
        <v>200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201</v>
      </c>
      <c r="C5" s="9" t="s">
        <v>13</v>
      </c>
      <c r="D5" s="9" t="s">
        <v>13</v>
      </c>
      <c r="E5" s="9" t="s">
        <v>22</v>
      </c>
      <c r="F5" s="9" t="s">
        <v>202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203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204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</row>
    <row r="11" spans="1:16">
      <c r="A11" s="8">
        <v>1</v>
      </c>
      <c r="B11" s="9" t="s">
        <v>205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1618</v>
      </c>
      <c r="M11" s="10" t="s">
        <v>206</v>
      </c>
    </row>
    <row r="12" spans="1:16">
      <c r="A12" s="5">
        <v>2</v>
      </c>
      <c r="B12" s="6" t="s">
        <v>205</v>
      </c>
      <c r="C12" s="6">
        <v>1.04</v>
      </c>
      <c r="D12" s="6">
        <v>1</v>
      </c>
      <c r="E12" s="6">
        <v>1</v>
      </c>
      <c r="F12" s="6">
        <v>1</v>
      </c>
      <c r="G12" s="6">
        <v>0</v>
      </c>
      <c r="H12" s="6">
        <v>4.4000000000000004</v>
      </c>
      <c r="I12" s="6">
        <v>0</v>
      </c>
      <c r="J12" s="6">
        <v>0.4</v>
      </c>
      <c r="K12" s="6">
        <v>0</v>
      </c>
      <c r="L12" s="6">
        <v>1618</v>
      </c>
      <c r="M12" s="7" t="s">
        <v>206</v>
      </c>
    </row>
    <row r="13" spans="1:16">
      <c r="A13" s="8">
        <v>3</v>
      </c>
      <c r="B13" s="9" t="s">
        <v>207</v>
      </c>
      <c r="C13" s="9">
        <v>2.0499999999999998</v>
      </c>
      <c r="D13" s="9">
        <v>1</v>
      </c>
      <c r="E13" s="9">
        <v>1</v>
      </c>
      <c r="F13" s="9">
        <v>0</v>
      </c>
      <c r="G13" s="9">
        <v>0</v>
      </c>
      <c r="H13" s="9">
        <v>4.4000000000000004</v>
      </c>
      <c r="I13" s="9">
        <v>0</v>
      </c>
      <c r="J13" s="9">
        <v>0.4</v>
      </c>
      <c r="K13" s="9">
        <v>0.1</v>
      </c>
      <c r="L13" s="9">
        <v>1618</v>
      </c>
      <c r="M13" s="10" t="s">
        <v>208</v>
      </c>
    </row>
    <row r="14" spans="1:16">
      <c r="A14" s="5">
        <v>4</v>
      </c>
      <c r="B14" s="6" t="s">
        <v>207</v>
      </c>
      <c r="C14" s="6">
        <v>3.06</v>
      </c>
      <c r="D14" s="6">
        <v>0</v>
      </c>
      <c r="E14" s="6">
        <v>1</v>
      </c>
      <c r="F14" s="6">
        <v>0</v>
      </c>
      <c r="G14" s="6">
        <v>0</v>
      </c>
      <c r="H14" s="6">
        <v>4.4000000000000004</v>
      </c>
      <c r="I14" s="6">
        <v>0</v>
      </c>
      <c r="J14" s="6">
        <v>0.5</v>
      </c>
      <c r="K14" s="6">
        <v>0.1</v>
      </c>
      <c r="L14" s="6">
        <v>1618</v>
      </c>
      <c r="M14" s="7" t="s">
        <v>209</v>
      </c>
    </row>
    <row r="15" spans="1:16">
      <c r="A15" s="8">
        <v>5</v>
      </c>
      <c r="B15" s="9" t="s">
        <v>207</v>
      </c>
      <c r="C15" s="9">
        <v>4.0599999999999996</v>
      </c>
      <c r="D15" s="9">
        <v>1</v>
      </c>
      <c r="E15" s="9">
        <v>1</v>
      </c>
      <c r="F15" s="9">
        <v>0</v>
      </c>
      <c r="G15" s="9">
        <v>0</v>
      </c>
      <c r="H15" s="9">
        <v>4.2</v>
      </c>
      <c r="I15" s="9">
        <v>0</v>
      </c>
      <c r="J15" s="9">
        <v>0.4</v>
      </c>
      <c r="K15" s="9">
        <v>0</v>
      </c>
      <c r="L15" s="9">
        <v>1618</v>
      </c>
      <c r="M15" s="10" t="s">
        <v>210</v>
      </c>
      <c r="O15" s="1" t="s">
        <v>124</v>
      </c>
      <c r="P15">
        <f>13.77-3</f>
        <v>10.77</v>
      </c>
    </row>
    <row r="16" spans="1:16">
      <c r="A16" s="5">
        <v>6</v>
      </c>
      <c r="B16" s="6" t="s">
        <v>207</v>
      </c>
      <c r="C16" s="6">
        <v>5.08</v>
      </c>
      <c r="D16" s="6">
        <v>1</v>
      </c>
      <c r="E16" s="6">
        <v>2</v>
      </c>
      <c r="F16" s="6">
        <v>1</v>
      </c>
      <c r="G16" s="6">
        <v>0</v>
      </c>
      <c r="H16" s="6">
        <v>4</v>
      </c>
      <c r="I16" s="6">
        <v>0</v>
      </c>
      <c r="J16" s="6">
        <v>0.4</v>
      </c>
      <c r="K16" s="6">
        <v>0.1</v>
      </c>
      <c r="L16" s="6">
        <v>1618</v>
      </c>
      <c r="M16" s="7" t="s">
        <v>211</v>
      </c>
      <c r="O16" t="s">
        <v>127</v>
      </c>
      <c r="P16">
        <f>SUM(F22:F27)</f>
        <v>2283</v>
      </c>
    </row>
    <row r="17" spans="1:16">
      <c r="A17" s="8">
        <v>7</v>
      </c>
      <c r="B17" s="9" t="s">
        <v>212</v>
      </c>
      <c r="C17" s="9">
        <v>6.09</v>
      </c>
      <c r="D17" s="9">
        <v>1</v>
      </c>
      <c r="E17" s="9">
        <v>2</v>
      </c>
      <c r="F17" s="9">
        <v>0</v>
      </c>
      <c r="G17" s="9">
        <v>0</v>
      </c>
      <c r="H17" s="9">
        <v>4</v>
      </c>
      <c r="I17" s="9">
        <v>0</v>
      </c>
      <c r="J17" s="9">
        <v>0.4</v>
      </c>
      <c r="K17" s="9">
        <v>0</v>
      </c>
      <c r="L17" s="9">
        <v>1618</v>
      </c>
      <c r="M17" s="10" t="s">
        <v>213</v>
      </c>
      <c r="O17" t="s">
        <v>125</v>
      </c>
      <c r="P17">
        <f>AVERAGE(H21:H26)</f>
        <v>0.91666666666666685</v>
      </c>
    </row>
    <row r="18" spans="1:16">
      <c r="A18" s="5">
        <v>8</v>
      </c>
      <c r="B18" s="6" t="s">
        <v>212</v>
      </c>
      <c r="C18" s="6">
        <v>7.09</v>
      </c>
      <c r="D18" s="6">
        <v>1</v>
      </c>
      <c r="E18" s="6">
        <v>2</v>
      </c>
      <c r="F18" s="6">
        <v>0</v>
      </c>
      <c r="G18" s="6">
        <v>24</v>
      </c>
      <c r="H18" s="6">
        <v>4.0999999999999996</v>
      </c>
      <c r="I18" s="6">
        <v>88</v>
      </c>
      <c r="J18" s="6">
        <v>0.5</v>
      </c>
      <c r="K18" s="6">
        <v>0</v>
      </c>
      <c r="L18" s="6">
        <v>1618</v>
      </c>
      <c r="M18" s="7" t="s">
        <v>214</v>
      </c>
      <c r="O18" t="s">
        <v>126</v>
      </c>
      <c r="P18">
        <f>AVERAGE(H27:H30)</f>
        <v>0.72499999999999998</v>
      </c>
    </row>
    <row r="19" spans="1:16">
      <c r="A19" s="8">
        <v>9</v>
      </c>
      <c r="B19" s="9" t="s">
        <v>212</v>
      </c>
      <c r="C19" s="9">
        <v>8.1</v>
      </c>
      <c r="D19" s="9">
        <v>0</v>
      </c>
      <c r="E19" s="9">
        <v>2</v>
      </c>
      <c r="F19" s="9">
        <v>0</v>
      </c>
      <c r="G19" s="9">
        <v>24</v>
      </c>
      <c r="H19" s="9">
        <v>4.0999999999999996</v>
      </c>
      <c r="I19" s="9">
        <v>86</v>
      </c>
      <c r="J19" s="9">
        <v>0.3</v>
      </c>
      <c r="K19" s="9">
        <v>0.1</v>
      </c>
      <c r="L19" s="9">
        <v>1618</v>
      </c>
      <c r="M19" s="10" t="s">
        <v>215</v>
      </c>
    </row>
    <row r="20" spans="1:16">
      <c r="A20" s="5">
        <v>10</v>
      </c>
      <c r="B20" s="6" t="s">
        <v>212</v>
      </c>
      <c r="C20" s="6">
        <v>9.1</v>
      </c>
      <c r="D20" s="6">
        <v>0</v>
      </c>
      <c r="E20" s="6">
        <v>2</v>
      </c>
      <c r="F20" s="6">
        <v>0</v>
      </c>
      <c r="G20" s="6">
        <v>24</v>
      </c>
      <c r="H20" s="6">
        <v>4.0999999999999996</v>
      </c>
      <c r="I20" s="6">
        <v>86</v>
      </c>
      <c r="J20" s="6">
        <v>0.4</v>
      </c>
      <c r="K20" s="6">
        <v>0</v>
      </c>
      <c r="L20" s="6">
        <v>1618</v>
      </c>
      <c r="M20" s="7" t="s">
        <v>216</v>
      </c>
    </row>
    <row r="21" spans="1:16">
      <c r="A21" s="8">
        <v>11</v>
      </c>
      <c r="B21" s="16" t="s">
        <v>217</v>
      </c>
      <c r="C21" s="16">
        <v>10.1</v>
      </c>
      <c r="D21" s="16">
        <v>1</v>
      </c>
      <c r="E21" s="16">
        <v>3</v>
      </c>
      <c r="F21" s="16">
        <v>1</v>
      </c>
      <c r="G21" s="16">
        <v>24</v>
      </c>
      <c r="H21" s="16">
        <v>3.9</v>
      </c>
      <c r="I21" s="16">
        <v>85</v>
      </c>
      <c r="J21" s="16">
        <v>0.5</v>
      </c>
      <c r="K21" s="16">
        <v>0.1</v>
      </c>
      <c r="L21" s="16">
        <v>1618</v>
      </c>
      <c r="M21" s="17" t="s">
        <v>218</v>
      </c>
    </row>
    <row r="22" spans="1:16">
      <c r="A22" s="5">
        <v>12</v>
      </c>
      <c r="B22" s="6" t="s">
        <v>219</v>
      </c>
      <c r="C22" s="6">
        <v>11.1</v>
      </c>
      <c r="D22" s="6">
        <v>284</v>
      </c>
      <c r="E22" s="6">
        <v>314</v>
      </c>
      <c r="F22" s="6">
        <v>311</v>
      </c>
      <c r="G22" s="6">
        <v>24</v>
      </c>
      <c r="H22" s="6">
        <v>0.4</v>
      </c>
      <c r="I22" s="6">
        <v>86</v>
      </c>
      <c r="J22" s="6">
        <v>0.3</v>
      </c>
      <c r="K22" s="6">
        <v>0.2</v>
      </c>
      <c r="L22" s="6">
        <v>1618</v>
      </c>
      <c r="M22" s="7" t="s">
        <v>220</v>
      </c>
    </row>
    <row r="23" spans="1:16">
      <c r="A23" s="8">
        <v>13</v>
      </c>
      <c r="B23" s="9" t="s">
        <v>221</v>
      </c>
      <c r="C23" s="9">
        <v>12.1</v>
      </c>
      <c r="D23" s="9">
        <v>284</v>
      </c>
      <c r="E23" s="9">
        <v>979</v>
      </c>
      <c r="F23" s="9">
        <v>665</v>
      </c>
      <c r="G23" s="9">
        <v>24</v>
      </c>
      <c r="H23" s="9">
        <v>0.4</v>
      </c>
      <c r="I23" s="9">
        <v>95</v>
      </c>
      <c r="J23" s="9">
        <v>0.4</v>
      </c>
      <c r="K23" s="9">
        <v>-0.1</v>
      </c>
      <c r="L23" s="9">
        <v>1618</v>
      </c>
      <c r="M23" s="10" t="s">
        <v>222</v>
      </c>
    </row>
    <row r="24" spans="1:16">
      <c r="A24" s="5">
        <v>14</v>
      </c>
      <c r="B24" s="6" t="s">
        <v>223</v>
      </c>
      <c r="C24" s="6">
        <v>13.1</v>
      </c>
      <c r="D24" s="6">
        <v>286</v>
      </c>
      <c r="E24" s="6">
        <v>1703</v>
      </c>
      <c r="F24" s="6">
        <v>724</v>
      </c>
      <c r="G24" s="6">
        <v>24</v>
      </c>
      <c r="H24" s="6">
        <v>0.4</v>
      </c>
      <c r="I24" s="6">
        <v>95</v>
      </c>
      <c r="J24" s="6">
        <v>0.4</v>
      </c>
      <c r="K24" s="6">
        <v>0.1</v>
      </c>
      <c r="L24" s="6">
        <v>1618</v>
      </c>
      <c r="M24" s="7" t="s">
        <v>224</v>
      </c>
    </row>
    <row r="25" spans="1:16">
      <c r="A25" s="8">
        <v>15</v>
      </c>
      <c r="B25" s="9" t="s">
        <v>225</v>
      </c>
      <c r="C25" s="9">
        <v>13.77</v>
      </c>
      <c r="D25" s="9">
        <v>285</v>
      </c>
      <c r="E25" s="9">
        <v>2217</v>
      </c>
      <c r="F25" s="9">
        <v>514</v>
      </c>
      <c r="G25" s="9">
        <v>24</v>
      </c>
      <c r="H25" s="9">
        <v>0.4</v>
      </c>
      <c r="I25" s="9">
        <v>94</v>
      </c>
      <c r="J25" s="9">
        <v>0.3</v>
      </c>
      <c r="K25" s="9">
        <v>0</v>
      </c>
      <c r="L25" s="9">
        <v>1618</v>
      </c>
      <c r="M25" s="10" t="s">
        <v>226</v>
      </c>
    </row>
    <row r="26" spans="1:16">
      <c r="A26" s="5">
        <v>16</v>
      </c>
      <c r="B26" s="6" t="s">
        <v>225</v>
      </c>
      <c r="C26" s="6">
        <v>13.77</v>
      </c>
      <c r="D26" s="6">
        <v>285</v>
      </c>
      <c r="E26" s="6">
        <v>2245</v>
      </c>
      <c r="F26" s="6">
        <v>28</v>
      </c>
      <c r="G26" s="6">
        <v>24</v>
      </c>
      <c r="H26" s="6">
        <v>0</v>
      </c>
      <c r="I26" s="6">
        <v>95</v>
      </c>
      <c r="J26" s="6">
        <v>0.4</v>
      </c>
      <c r="K26" s="6">
        <v>0</v>
      </c>
      <c r="L26" s="6">
        <v>1618</v>
      </c>
      <c r="M26" s="7" t="s">
        <v>227</v>
      </c>
    </row>
    <row r="27" spans="1:16">
      <c r="A27" s="8">
        <v>17</v>
      </c>
      <c r="B27" s="16" t="s">
        <v>225</v>
      </c>
      <c r="C27" s="16">
        <v>13.77</v>
      </c>
      <c r="D27" s="16">
        <v>1</v>
      </c>
      <c r="E27" s="16">
        <v>2286</v>
      </c>
      <c r="F27" s="16">
        <v>41</v>
      </c>
      <c r="G27" s="16">
        <v>24</v>
      </c>
      <c r="H27" s="16">
        <v>0</v>
      </c>
      <c r="I27" s="16">
        <v>93</v>
      </c>
      <c r="J27" s="16">
        <v>0.4</v>
      </c>
      <c r="K27" s="16">
        <v>-0.1</v>
      </c>
      <c r="L27" s="16">
        <v>1618</v>
      </c>
      <c r="M27" s="17" t="s">
        <v>228</v>
      </c>
    </row>
    <row r="28" spans="1:16">
      <c r="A28" s="5">
        <v>18</v>
      </c>
      <c r="B28" s="6" t="s">
        <v>229</v>
      </c>
      <c r="C28" s="6">
        <v>12.77</v>
      </c>
      <c r="D28" s="6">
        <v>1</v>
      </c>
      <c r="E28" s="6">
        <v>2287</v>
      </c>
      <c r="F28" s="6">
        <v>1</v>
      </c>
      <c r="G28" s="6">
        <v>24</v>
      </c>
      <c r="H28" s="6">
        <v>1</v>
      </c>
      <c r="I28" s="6">
        <v>90</v>
      </c>
      <c r="J28" s="6">
        <v>0.4</v>
      </c>
      <c r="K28" s="6">
        <v>0</v>
      </c>
      <c r="L28" s="6">
        <v>1618</v>
      </c>
      <c r="M28" s="7" t="s">
        <v>230</v>
      </c>
    </row>
    <row r="29" spans="1:16">
      <c r="A29" s="8">
        <v>19</v>
      </c>
      <c r="B29" s="9" t="s">
        <v>231</v>
      </c>
      <c r="C29" s="9">
        <v>11.77</v>
      </c>
      <c r="D29" s="9">
        <v>0</v>
      </c>
      <c r="E29" s="9">
        <v>2288</v>
      </c>
      <c r="F29" s="9">
        <v>1</v>
      </c>
      <c r="G29" s="9">
        <v>24</v>
      </c>
      <c r="H29" s="9">
        <v>0.9</v>
      </c>
      <c r="I29" s="9">
        <v>86</v>
      </c>
      <c r="J29" s="9">
        <v>0.4</v>
      </c>
      <c r="K29" s="9">
        <v>0</v>
      </c>
      <c r="L29" s="9">
        <v>1618</v>
      </c>
      <c r="M29" s="10" t="s">
        <v>232</v>
      </c>
    </row>
    <row r="30" spans="1:16">
      <c r="A30" s="5">
        <v>20</v>
      </c>
      <c r="B30" s="6" t="s">
        <v>233</v>
      </c>
      <c r="C30" s="6">
        <v>10.77</v>
      </c>
      <c r="D30" s="6">
        <v>0</v>
      </c>
      <c r="E30" s="6">
        <v>2289</v>
      </c>
      <c r="F30" s="6">
        <v>1</v>
      </c>
      <c r="G30" s="6">
        <v>24</v>
      </c>
      <c r="H30" s="6">
        <v>1</v>
      </c>
      <c r="I30" s="6">
        <v>85</v>
      </c>
      <c r="J30" s="6">
        <v>0.4</v>
      </c>
      <c r="K30" s="6">
        <v>0</v>
      </c>
      <c r="L30" s="6">
        <v>1618</v>
      </c>
      <c r="M30" s="7" t="s">
        <v>234</v>
      </c>
    </row>
    <row r="31" spans="1:16">
      <c r="A31" s="8">
        <v>21</v>
      </c>
      <c r="B31" s="9" t="s">
        <v>235</v>
      </c>
      <c r="C31" s="9">
        <v>9.77</v>
      </c>
      <c r="D31" s="9">
        <v>1</v>
      </c>
      <c r="E31" s="9">
        <v>2289</v>
      </c>
      <c r="F31" s="9">
        <v>0</v>
      </c>
      <c r="G31" s="9">
        <v>24</v>
      </c>
      <c r="H31" s="9">
        <v>3.1</v>
      </c>
      <c r="I31" s="9">
        <v>86</v>
      </c>
      <c r="J31" s="9">
        <v>0.4</v>
      </c>
      <c r="K31" s="9">
        <v>-0.1</v>
      </c>
      <c r="L31" s="9">
        <v>1618</v>
      </c>
      <c r="M31" s="10" t="s">
        <v>236</v>
      </c>
    </row>
    <row r="32" spans="1:16">
      <c r="A32" s="5">
        <v>22</v>
      </c>
      <c r="B32" s="6" t="s">
        <v>235</v>
      </c>
      <c r="C32" s="6">
        <v>8.74</v>
      </c>
      <c r="D32" s="6">
        <v>0</v>
      </c>
      <c r="E32" s="6">
        <v>2289</v>
      </c>
      <c r="F32" s="6">
        <v>0</v>
      </c>
      <c r="G32" s="6">
        <v>0</v>
      </c>
      <c r="H32" s="6">
        <v>3.1</v>
      </c>
      <c r="I32" s="6">
        <v>0</v>
      </c>
      <c r="J32" s="6">
        <v>0.4</v>
      </c>
      <c r="K32" s="6">
        <v>0.3</v>
      </c>
      <c r="L32" s="6">
        <v>1618</v>
      </c>
      <c r="M32" s="7" t="s">
        <v>237</v>
      </c>
    </row>
    <row r="33" spans="1:13">
      <c r="A33" s="8">
        <v>23</v>
      </c>
      <c r="B33" s="9" t="s">
        <v>238</v>
      </c>
      <c r="C33" s="9">
        <v>7.72</v>
      </c>
      <c r="D33" s="9">
        <v>0</v>
      </c>
      <c r="E33" s="9">
        <v>2290</v>
      </c>
      <c r="F33" s="9">
        <v>1</v>
      </c>
      <c r="G33" s="9">
        <v>0</v>
      </c>
      <c r="H33" s="9">
        <v>3</v>
      </c>
      <c r="I33" s="9">
        <v>0</v>
      </c>
      <c r="J33" s="9">
        <v>0.4</v>
      </c>
      <c r="K33" s="9">
        <v>0.3</v>
      </c>
      <c r="L33" s="9">
        <v>1618</v>
      </c>
      <c r="M33" s="10" t="s">
        <v>239</v>
      </c>
    </row>
    <row r="34" spans="1:13">
      <c r="A34" s="5">
        <v>24</v>
      </c>
      <c r="B34" s="6" t="s">
        <v>238</v>
      </c>
      <c r="C34" s="6">
        <v>6.71</v>
      </c>
      <c r="D34" s="6">
        <v>1</v>
      </c>
      <c r="E34" s="6">
        <v>2290</v>
      </c>
      <c r="F34" s="6">
        <v>0</v>
      </c>
      <c r="G34" s="6">
        <v>0</v>
      </c>
      <c r="H34" s="6">
        <v>3</v>
      </c>
      <c r="I34" s="6">
        <v>0</v>
      </c>
      <c r="J34" s="6">
        <v>0.4</v>
      </c>
      <c r="K34" s="6">
        <v>0.3</v>
      </c>
      <c r="L34" s="6">
        <v>1618</v>
      </c>
      <c r="M34" s="7" t="s">
        <v>240</v>
      </c>
    </row>
    <row r="35" spans="1:13">
      <c r="A35" s="8">
        <v>25</v>
      </c>
      <c r="B35" s="9" t="s">
        <v>238</v>
      </c>
      <c r="C35" s="9">
        <v>5.71</v>
      </c>
      <c r="D35" s="9">
        <v>0</v>
      </c>
      <c r="E35" s="9">
        <v>2290</v>
      </c>
      <c r="F35" s="9">
        <v>0</v>
      </c>
      <c r="G35" s="9">
        <v>0</v>
      </c>
      <c r="H35" s="9">
        <v>3.1</v>
      </c>
      <c r="I35" s="9">
        <v>0</v>
      </c>
      <c r="J35" s="9">
        <v>0.4</v>
      </c>
      <c r="K35" s="9">
        <v>0.3</v>
      </c>
      <c r="L35" s="9">
        <v>1618</v>
      </c>
      <c r="M35" s="10" t="s">
        <v>241</v>
      </c>
    </row>
    <row r="36" spans="1:13">
      <c r="A36" s="5">
        <v>26</v>
      </c>
      <c r="B36" s="6" t="s">
        <v>242</v>
      </c>
      <c r="C36" s="6">
        <v>4.7</v>
      </c>
      <c r="D36" s="6">
        <v>0</v>
      </c>
      <c r="E36" s="6">
        <v>2290</v>
      </c>
      <c r="F36" s="6">
        <v>0</v>
      </c>
      <c r="G36" s="6">
        <v>0</v>
      </c>
      <c r="H36" s="6">
        <v>3.1</v>
      </c>
      <c r="I36" s="6">
        <v>0</v>
      </c>
      <c r="J36" s="6">
        <v>0.4</v>
      </c>
      <c r="K36" s="6">
        <v>0.3</v>
      </c>
      <c r="L36" s="6">
        <v>1618</v>
      </c>
      <c r="M36" s="7" t="s">
        <v>243</v>
      </c>
    </row>
    <row r="37" spans="1:13">
      <c r="A37" s="8">
        <v>27</v>
      </c>
      <c r="B37" s="9" t="s">
        <v>242</v>
      </c>
      <c r="C37" s="9">
        <v>3.69</v>
      </c>
      <c r="D37" s="9">
        <v>1</v>
      </c>
      <c r="E37" s="9">
        <v>2291</v>
      </c>
      <c r="F37" s="9">
        <v>1</v>
      </c>
      <c r="G37" s="9">
        <v>0</v>
      </c>
      <c r="H37" s="9">
        <v>3.2</v>
      </c>
      <c r="I37" s="9">
        <v>0</v>
      </c>
      <c r="J37" s="9">
        <v>0.4</v>
      </c>
      <c r="K37" s="9">
        <v>0.3</v>
      </c>
      <c r="L37" s="9">
        <v>1618</v>
      </c>
      <c r="M37" s="10" t="s">
        <v>244</v>
      </c>
    </row>
    <row r="38" spans="1:13">
      <c r="A38" s="5">
        <v>28</v>
      </c>
      <c r="B38" s="6" t="s">
        <v>242</v>
      </c>
      <c r="C38" s="6">
        <v>2.69</v>
      </c>
      <c r="D38" s="6">
        <v>1</v>
      </c>
      <c r="E38" s="6">
        <v>2291</v>
      </c>
      <c r="F38" s="6">
        <v>0</v>
      </c>
      <c r="G38" s="6">
        <v>0</v>
      </c>
      <c r="H38" s="6">
        <v>3.2</v>
      </c>
      <c r="I38" s="6">
        <v>0</v>
      </c>
      <c r="J38" s="6">
        <v>0.4</v>
      </c>
      <c r="K38" s="6">
        <v>0.3</v>
      </c>
      <c r="L38" s="6">
        <v>1618</v>
      </c>
      <c r="M38" s="7" t="s">
        <v>245</v>
      </c>
    </row>
    <row r="39" spans="1:13">
      <c r="A39" s="8">
        <v>29</v>
      </c>
      <c r="B39" s="9" t="s">
        <v>204</v>
      </c>
      <c r="C39" s="9">
        <v>1.68</v>
      </c>
      <c r="D39" s="9">
        <v>0</v>
      </c>
      <c r="E39" s="9">
        <v>2291</v>
      </c>
      <c r="F39" s="9">
        <v>0</v>
      </c>
      <c r="G39" s="9">
        <v>0</v>
      </c>
      <c r="H39" s="9">
        <v>3.2</v>
      </c>
      <c r="I39" s="9">
        <v>0</v>
      </c>
      <c r="J39" s="9">
        <v>0.4</v>
      </c>
      <c r="K39" s="9">
        <v>0.3</v>
      </c>
      <c r="L39" s="9">
        <v>1618</v>
      </c>
      <c r="M39" s="10" t="s">
        <v>246</v>
      </c>
    </row>
    <row r="40" spans="1:13">
      <c r="A40" s="19">
        <v>30</v>
      </c>
      <c r="B40" s="20" t="s">
        <v>204</v>
      </c>
      <c r="C40" s="20">
        <v>0.67</v>
      </c>
      <c r="D40" s="20">
        <v>1</v>
      </c>
      <c r="E40" s="20">
        <v>2291</v>
      </c>
      <c r="F40" s="20">
        <v>0</v>
      </c>
      <c r="G40" s="20">
        <v>0</v>
      </c>
      <c r="H40" s="20">
        <v>3.2</v>
      </c>
      <c r="I40" s="20">
        <v>0</v>
      </c>
      <c r="J40" s="20">
        <v>0.4</v>
      </c>
      <c r="K40" s="20">
        <v>0.3</v>
      </c>
      <c r="L40" s="20">
        <v>1618</v>
      </c>
      <c r="M40" s="21" t="s">
        <v>247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6B26-8E48-4F07-8475-AF0038DA56CA}">
  <dimension ref="A1:P39"/>
  <sheetViews>
    <sheetView zoomScale="70" zoomScaleNormal="70" workbookViewId="0">
      <selection activeCell="O12" sqref="O12:O15"/>
    </sheetView>
  </sheetViews>
  <sheetFormatPr defaultRowHeight="14"/>
  <cols>
    <col min="1" max="1" width="15.1640625" bestFit="1" customWidth="1"/>
    <col min="2" max="3" width="10.4140625" bestFit="1" customWidth="1"/>
    <col min="4" max="4" width="14.75" bestFit="1" customWidth="1"/>
    <col min="5" max="5" width="15.1640625" bestFit="1" customWidth="1"/>
    <col min="6" max="6" width="13.6640625" bestFit="1" customWidth="1"/>
    <col min="7" max="7" width="10.4140625" bestFit="1" customWidth="1"/>
    <col min="8" max="8" width="14.5" bestFit="1" customWidth="1"/>
    <col min="9" max="9" width="19.4140625" bestFit="1" customWidth="1"/>
    <col min="10" max="12" width="11.4140625" bestFit="1" customWidth="1"/>
    <col min="13" max="13" width="17.58203125" bestFit="1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6">
      <c r="A2" s="5" t="s">
        <v>13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7" t="s">
        <v>13</v>
      </c>
    </row>
    <row r="3" spans="1:16">
      <c r="A3" s="8" t="s">
        <v>14</v>
      </c>
      <c r="B3" s="9" t="s">
        <v>15</v>
      </c>
      <c r="C3" s="9" t="s">
        <v>13</v>
      </c>
      <c r="D3" s="9" t="s">
        <v>13</v>
      </c>
      <c r="E3" s="9" t="s">
        <v>16</v>
      </c>
      <c r="F3" s="9" t="s">
        <v>17</v>
      </c>
      <c r="G3" s="9" t="s">
        <v>13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13</v>
      </c>
    </row>
    <row r="4" spans="1:16">
      <c r="A4" s="5" t="s">
        <v>18</v>
      </c>
      <c r="B4" s="6" t="s">
        <v>123</v>
      </c>
      <c r="C4" s="6" t="s">
        <v>13</v>
      </c>
      <c r="D4" s="6" t="s">
        <v>13</v>
      </c>
      <c r="E4" s="6" t="s">
        <v>19</v>
      </c>
      <c r="F4" s="6" t="s">
        <v>123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7" t="s">
        <v>13</v>
      </c>
    </row>
    <row r="5" spans="1:16">
      <c r="A5" s="8" t="s">
        <v>20</v>
      </c>
      <c r="B5" s="9" t="s">
        <v>21</v>
      </c>
      <c r="C5" s="9" t="s">
        <v>13</v>
      </c>
      <c r="D5" s="9" t="s">
        <v>13</v>
      </c>
      <c r="E5" s="9" t="s">
        <v>22</v>
      </c>
      <c r="F5" s="9" t="s">
        <v>23</v>
      </c>
      <c r="G5" s="9" t="s">
        <v>13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13</v>
      </c>
    </row>
    <row r="6" spans="1:16">
      <c r="A6" s="5" t="s">
        <v>24</v>
      </c>
      <c r="B6" s="6" t="s">
        <v>25</v>
      </c>
      <c r="C6" s="6" t="s">
        <v>26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7" t="s">
        <v>13</v>
      </c>
    </row>
    <row r="7" spans="1:16">
      <c r="A7" s="8" t="s">
        <v>27</v>
      </c>
      <c r="B7" s="9" t="s">
        <v>25</v>
      </c>
      <c r="C7" s="9" t="s">
        <v>28</v>
      </c>
      <c r="D7" s="9" t="s">
        <v>13</v>
      </c>
      <c r="E7" s="9" t="s">
        <v>13</v>
      </c>
      <c r="F7" s="9" t="s">
        <v>13</v>
      </c>
      <c r="G7" s="9" t="s">
        <v>13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13</v>
      </c>
    </row>
    <row r="8" spans="1:16">
      <c r="A8" s="5" t="s">
        <v>13</v>
      </c>
      <c r="B8" s="6" t="s">
        <v>13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7" t="s">
        <v>13</v>
      </c>
    </row>
    <row r="9" spans="1:16">
      <c r="A9" s="8" t="s">
        <v>13</v>
      </c>
      <c r="B9" s="9" t="s">
        <v>13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9" t="s">
        <v>13</v>
      </c>
      <c r="I9" s="9" t="s">
        <v>13</v>
      </c>
      <c r="J9" s="9" t="s">
        <v>13</v>
      </c>
      <c r="K9" s="9" t="s">
        <v>13</v>
      </c>
      <c r="L9" s="9" t="s">
        <v>13</v>
      </c>
      <c r="M9" s="10" t="s">
        <v>13</v>
      </c>
    </row>
    <row r="10" spans="1:16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20</v>
      </c>
      <c r="F10" s="6" t="s">
        <v>33</v>
      </c>
      <c r="G10" s="6" t="s">
        <v>34</v>
      </c>
      <c r="H10" s="6" t="s">
        <v>35</v>
      </c>
      <c r="I10" s="6" t="s">
        <v>36</v>
      </c>
      <c r="J10" s="6" t="s">
        <v>37</v>
      </c>
      <c r="K10" s="6" t="s">
        <v>38</v>
      </c>
      <c r="L10" s="6" t="s">
        <v>14</v>
      </c>
      <c r="M10" s="7" t="s">
        <v>30</v>
      </c>
    </row>
    <row r="11" spans="1:16">
      <c r="A11" s="8">
        <v>1</v>
      </c>
      <c r="B11" s="9" t="s">
        <v>40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 t="s">
        <v>13</v>
      </c>
      <c r="J11" s="9">
        <v>0</v>
      </c>
      <c r="K11" s="9">
        <v>0</v>
      </c>
      <c r="L11" s="9">
        <v>1418</v>
      </c>
      <c r="M11" s="10" t="s">
        <v>44</v>
      </c>
    </row>
    <row r="12" spans="1:16">
      <c r="A12" s="5">
        <v>2</v>
      </c>
      <c r="B12" s="6" t="s">
        <v>40</v>
      </c>
      <c r="C12" s="6">
        <v>1</v>
      </c>
      <c r="D12" s="6">
        <v>1</v>
      </c>
      <c r="E12" s="6">
        <v>1</v>
      </c>
      <c r="F12" s="6">
        <v>1</v>
      </c>
      <c r="G12" s="6">
        <v>0</v>
      </c>
      <c r="H12" s="6">
        <v>3.3</v>
      </c>
      <c r="I12" s="6">
        <v>0</v>
      </c>
      <c r="J12" s="6">
        <v>0.5</v>
      </c>
      <c r="K12" s="6">
        <v>-0.1</v>
      </c>
      <c r="L12" s="6">
        <v>1418</v>
      </c>
      <c r="M12" s="7" t="s">
        <v>44</v>
      </c>
      <c r="O12" s="1" t="s">
        <v>124</v>
      </c>
      <c r="P12" s="14">
        <f>13.58-3</f>
        <v>10.58</v>
      </c>
    </row>
    <row r="13" spans="1:16">
      <c r="A13" s="8">
        <v>3</v>
      </c>
      <c r="B13" s="9" t="s">
        <v>40</v>
      </c>
      <c r="C13" s="9">
        <v>2.02</v>
      </c>
      <c r="D13" s="9">
        <v>1</v>
      </c>
      <c r="E13" s="9">
        <v>1</v>
      </c>
      <c r="F13" s="9">
        <v>0</v>
      </c>
      <c r="G13" s="9">
        <v>0</v>
      </c>
      <c r="H13" s="9">
        <v>3.2</v>
      </c>
      <c r="I13" s="9">
        <v>0</v>
      </c>
      <c r="J13" s="9">
        <v>0.6</v>
      </c>
      <c r="K13" s="9">
        <v>-0.1</v>
      </c>
      <c r="L13" s="9">
        <v>1418</v>
      </c>
      <c r="M13" s="10" t="s">
        <v>47</v>
      </c>
      <c r="O13" t="s">
        <v>127</v>
      </c>
      <c r="P13">
        <f>SUM(F21:F29)</f>
        <v>2490</v>
      </c>
    </row>
    <row r="14" spans="1:16">
      <c r="A14" s="5">
        <v>4</v>
      </c>
      <c r="B14" s="6" t="s">
        <v>49</v>
      </c>
      <c r="C14" s="6">
        <v>3.02</v>
      </c>
      <c r="D14" s="6">
        <v>0</v>
      </c>
      <c r="E14" s="6">
        <v>1</v>
      </c>
      <c r="F14" s="6">
        <v>0</v>
      </c>
      <c r="G14" s="6">
        <v>0</v>
      </c>
      <c r="H14" s="6">
        <v>3.2</v>
      </c>
      <c r="I14" s="6">
        <v>0</v>
      </c>
      <c r="J14" s="6">
        <v>0.6</v>
      </c>
      <c r="K14" s="6">
        <v>0</v>
      </c>
      <c r="L14" s="6">
        <v>1418</v>
      </c>
      <c r="M14" s="7" t="s">
        <v>50</v>
      </c>
      <c r="O14" t="s">
        <v>125</v>
      </c>
      <c r="P14">
        <f>AVERAGE(J21:J25)</f>
        <v>0.5</v>
      </c>
    </row>
    <row r="15" spans="1:16">
      <c r="A15" s="8">
        <v>5</v>
      </c>
      <c r="B15" s="9" t="s">
        <v>49</v>
      </c>
      <c r="C15" s="9">
        <v>4.0199999999999996</v>
      </c>
      <c r="D15" s="9">
        <v>1</v>
      </c>
      <c r="E15" s="9">
        <v>1</v>
      </c>
      <c r="F15" s="9">
        <v>0</v>
      </c>
      <c r="G15" s="9">
        <v>0</v>
      </c>
      <c r="H15" s="9">
        <v>3.1</v>
      </c>
      <c r="I15" s="9">
        <v>0</v>
      </c>
      <c r="J15" s="9">
        <v>0.6</v>
      </c>
      <c r="K15" s="9">
        <v>-0.2</v>
      </c>
      <c r="L15" s="9">
        <v>1418</v>
      </c>
      <c r="M15" s="10" t="s">
        <v>53</v>
      </c>
      <c r="O15" t="s">
        <v>126</v>
      </c>
      <c r="P15">
        <f>AVERAGE(H26:H29)</f>
        <v>0.75</v>
      </c>
    </row>
    <row r="16" spans="1:16">
      <c r="A16" s="5">
        <v>6</v>
      </c>
      <c r="B16" s="6" t="s">
        <v>49</v>
      </c>
      <c r="C16" s="6">
        <v>5.0199999999999996</v>
      </c>
      <c r="D16" s="6">
        <v>1</v>
      </c>
      <c r="E16" s="6">
        <v>2</v>
      </c>
      <c r="F16" s="6">
        <v>1</v>
      </c>
      <c r="G16" s="6">
        <v>0</v>
      </c>
      <c r="H16" s="6">
        <v>3.1</v>
      </c>
      <c r="I16" s="6">
        <v>0</v>
      </c>
      <c r="J16" s="6">
        <v>0.6</v>
      </c>
      <c r="K16" s="6">
        <v>-0.1</v>
      </c>
      <c r="L16" s="6">
        <v>1418</v>
      </c>
      <c r="M16" s="7" t="s">
        <v>55</v>
      </c>
    </row>
    <row r="17" spans="1:13">
      <c r="A17" s="8">
        <v>7</v>
      </c>
      <c r="B17" s="9" t="s">
        <v>57</v>
      </c>
      <c r="C17" s="9">
        <v>6.03</v>
      </c>
      <c r="D17" s="9">
        <v>1</v>
      </c>
      <c r="E17" s="9">
        <v>2</v>
      </c>
      <c r="F17" s="9">
        <v>0</v>
      </c>
      <c r="G17" s="9">
        <v>24</v>
      </c>
      <c r="H17" s="9">
        <v>3.2</v>
      </c>
      <c r="I17" s="9">
        <v>86</v>
      </c>
      <c r="J17" s="9">
        <v>0.7</v>
      </c>
      <c r="K17" s="9">
        <v>-0.1</v>
      </c>
      <c r="L17" s="9">
        <v>1418</v>
      </c>
      <c r="M17" s="10" t="s">
        <v>59</v>
      </c>
    </row>
    <row r="18" spans="1:13">
      <c r="A18" s="5">
        <v>8</v>
      </c>
      <c r="B18" s="6" t="s">
        <v>57</v>
      </c>
      <c r="C18" s="6">
        <v>7.03</v>
      </c>
      <c r="D18" s="6">
        <v>0</v>
      </c>
      <c r="E18" s="6">
        <v>2</v>
      </c>
      <c r="F18" s="6">
        <v>0</v>
      </c>
      <c r="G18" s="6">
        <v>24</v>
      </c>
      <c r="H18" s="6">
        <v>3.2</v>
      </c>
      <c r="I18" s="6">
        <v>86</v>
      </c>
      <c r="J18" s="6">
        <v>0.5</v>
      </c>
      <c r="K18" s="6">
        <v>-0.1</v>
      </c>
      <c r="L18" s="6">
        <v>1418</v>
      </c>
      <c r="M18" s="7" t="s">
        <v>61</v>
      </c>
    </row>
    <row r="19" spans="1:13">
      <c r="A19" s="8">
        <v>9</v>
      </c>
      <c r="B19" s="9" t="s">
        <v>57</v>
      </c>
      <c r="C19" s="9">
        <v>8.0299999999999994</v>
      </c>
      <c r="D19" s="9">
        <v>1</v>
      </c>
      <c r="E19" s="9">
        <v>2</v>
      </c>
      <c r="F19" s="9">
        <v>0</v>
      </c>
      <c r="G19" s="9">
        <v>24</v>
      </c>
      <c r="H19" s="9">
        <v>3.1</v>
      </c>
      <c r="I19" s="9">
        <v>85</v>
      </c>
      <c r="J19" s="9">
        <v>0.4</v>
      </c>
      <c r="K19" s="9">
        <v>0</v>
      </c>
      <c r="L19" s="9">
        <v>1418</v>
      </c>
      <c r="M19" s="10" t="s">
        <v>64</v>
      </c>
    </row>
    <row r="20" spans="1:13">
      <c r="A20" s="5">
        <v>10</v>
      </c>
      <c r="B20" s="6" t="s">
        <v>66</v>
      </c>
      <c r="C20" s="6">
        <v>9.0399999999999991</v>
      </c>
      <c r="D20" s="6">
        <v>1</v>
      </c>
      <c r="E20" s="6">
        <v>3</v>
      </c>
      <c r="F20" s="6">
        <v>1</v>
      </c>
      <c r="G20" s="6">
        <v>24</v>
      </c>
      <c r="H20" s="6">
        <v>3.2</v>
      </c>
      <c r="I20" s="6">
        <v>86</v>
      </c>
      <c r="J20" s="6">
        <v>0.5</v>
      </c>
      <c r="K20" s="6">
        <v>0</v>
      </c>
      <c r="L20" s="6">
        <v>1418</v>
      </c>
      <c r="M20" s="7" t="s">
        <v>67</v>
      </c>
    </row>
    <row r="21" spans="1:13">
      <c r="A21" s="15">
        <v>11</v>
      </c>
      <c r="B21" s="16" t="s">
        <v>69</v>
      </c>
      <c r="C21" s="16">
        <v>10.039999999999999</v>
      </c>
      <c r="D21" s="16">
        <v>1</v>
      </c>
      <c r="E21" s="16">
        <v>4</v>
      </c>
      <c r="F21" s="16">
        <v>1</v>
      </c>
      <c r="G21" s="16">
        <v>24</v>
      </c>
      <c r="H21" s="16">
        <v>0.4</v>
      </c>
      <c r="I21" s="16">
        <v>86</v>
      </c>
      <c r="J21" s="16">
        <v>0.4</v>
      </c>
      <c r="K21" s="16">
        <v>-0.2</v>
      </c>
      <c r="L21" s="16">
        <v>1418</v>
      </c>
      <c r="M21" s="17" t="s">
        <v>70</v>
      </c>
    </row>
    <row r="22" spans="1:13">
      <c r="A22" s="5">
        <v>12</v>
      </c>
      <c r="B22" s="6" t="s">
        <v>72</v>
      </c>
      <c r="C22" s="6">
        <v>11.04</v>
      </c>
      <c r="D22" s="6">
        <v>286</v>
      </c>
      <c r="E22" s="6">
        <v>465</v>
      </c>
      <c r="F22" s="6">
        <v>461</v>
      </c>
      <c r="G22" s="6">
        <v>24</v>
      </c>
      <c r="H22" s="6">
        <v>0.4</v>
      </c>
      <c r="I22" s="6">
        <v>87</v>
      </c>
      <c r="J22" s="6">
        <v>0.6</v>
      </c>
      <c r="K22" s="6">
        <v>0</v>
      </c>
      <c r="L22" s="6">
        <v>1418</v>
      </c>
      <c r="M22" s="7" t="s">
        <v>74</v>
      </c>
    </row>
    <row r="23" spans="1:13">
      <c r="A23" s="8">
        <v>13</v>
      </c>
      <c r="B23" s="9" t="s">
        <v>76</v>
      </c>
      <c r="C23" s="9">
        <v>12.04</v>
      </c>
      <c r="D23" s="9">
        <v>289</v>
      </c>
      <c r="E23" s="9">
        <v>1220</v>
      </c>
      <c r="F23" s="9">
        <v>755</v>
      </c>
      <c r="G23" s="9">
        <v>24</v>
      </c>
      <c r="H23" s="9">
        <v>0.4</v>
      </c>
      <c r="I23" s="9">
        <v>95</v>
      </c>
      <c r="J23" s="9">
        <v>0.5</v>
      </c>
      <c r="K23" s="9">
        <v>-0.1</v>
      </c>
      <c r="L23" s="9">
        <v>1418</v>
      </c>
      <c r="M23" s="10" t="s">
        <v>78</v>
      </c>
    </row>
    <row r="24" spans="1:13">
      <c r="A24" s="5">
        <v>14</v>
      </c>
      <c r="B24" s="6" t="s">
        <v>80</v>
      </c>
      <c r="C24" s="6">
        <v>13.04</v>
      </c>
      <c r="D24" s="6">
        <v>294</v>
      </c>
      <c r="E24" s="6">
        <v>1985</v>
      </c>
      <c r="F24" s="6">
        <v>765</v>
      </c>
      <c r="G24" s="6">
        <v>24</v>
      </c>
      <c r="H24" s="6">
        <v>0.4</v>
      </c>
      <c r="I24" s="6">
        <v>97</v>
      </c>
      <c r="J24" s="6">
        <v>0.5</v>
      </c>
      <c r="K24" s="6">
        <v>-0.1</v>
      </c>
      <c r="L24" s="6">
        <v>1418</v>
      </c>
      <c r="M24" s="7" t="s">
        <v>82</v>
      </c>
    </row>
    <row r="25" spans="1:13">
      <c r="A25" s="15">
        <v>15</v>
      </c>
      <c r="B25" s="16" t="s">
        <v>84</v>
      </c>
      <c r="C25" s="16">
        <v>13.58</v>
      </c>
      <c r="D25" s="16">
        <v>281</v>
      </c>
      <c r="E25" s="16">
        <v>2400</v>
      </c>
      <c r="F25" s="16">
        <v>415</v>
      </c>
      <c r="G25" s="16">
        <v>24</v>
      </c>
      <c r="H25" s="16">
        <v>0.4</v>
      </c>
      <c r="I25" s="16">
        <v>108</v>
      </c>
      <c r="J25" s="16">
        <v>0.5</v>
      </c>
      <c r="K25" s="16">
        <v>-0.1</v>
      </c>
      <c r="L25" s="16">
        <v>1418</v>
      </c>
      <c r="M25" s="17" t="s">
        <v>85</v>
      </c>
    </row>
    <row r="26" spans="1:13">
      <c r="A26" s="5">
        <v>16</v>
      </c>
      <c r="B26" s="6" t="s">
        <v>87</v>
      </c>
      <c r="C26" s="6">
        <v>13.58</v>
      </c>
      <c r="D26" s="6">
        <v>6</v>
      </c>
      <c r="E26" s="6">
        <v>2439</v>
      </c>
      <c r="F26" s="6">
        <v>39</v>
      </c>
      <c r="G26" s="6">
        <v>24</v>
      </c>
      <c r="H26" s="6">
        <v>0</v>
      </c>
      <c r="I26" s="6">
        <v>93</v>
      </c>
      <c r="J26" s="6">
        <v>0.6</v>
      </c>
      <c r="K26" s="6">
        <v>-0.1</v>
      </c>
      <c r="L26" s="6">
        <v>1418</v>
      </c>
      <c r="M26" s="7" t="s">
        <v>89</v>
      </c>
    </row>
    <row r="27" spans="1:13">
      <c r="A27" s="8">
        <v>17</v>
      </c>
      <c r="B27" s="9" t="s">
        <v>91</v>
      </c>
      <c r="C27" s="9">
        <v>12.58</v>
      </c>
      <c r="D27" s="9">
        <v>1</v>
      </c>
      <c r="E27" s="9">
        <v>2466</v>
      </c>
      <c r="F27" s="9">
        <v>27</v>
      </c>
      <c r="G27" s="9">
        <v>24</v>
      </c>
      <c r="H27" s="9">
        <v>1</v>
      </c>
      <c r="I27" s="9">
        <v>92</v>
      </c>
      <c r="J27" s="9">
        <v>0.6</v>
      </c>
      <c r="K27" s="9">
        <v>-0.1</v>
      </c>
      <c r="L27" s="9">
        <v>1418</v>
      </c>
      <c r="M27" s="10" t="s">
        <v>93</v>
      </c>
    </row>
    <row r="28" spans="1:13">
      <c r="A28" s="5">
        <v>18</v>
      </c>
      <c r="B28" s="6" t="s">
        <v>95</v>
      </c>
      <c r="C28" s="6">
        <v>11.58</v>
      </c>
      <c r="D28" s="6">
        <v>23</v>
      </c>
      <c r="E28" s="6">
        <v>2478</v>
      </c>
      <c r="F28" s="6">
        <v>12</v>
      </c>
      <c r="G28" s="6">
        <v>24</v>
      </c>
      <c r="H28" s="6">
        <v>1</v>
      </c>
      <c r="I28" s="6">
        <v>85</v>
      </c>
      <c r="J28" s="6">
        <v>0.6</v>
      </c>
      <c r="K28" s="6">
        <v>-0.1</v>
      </c>
      <c r="L28" s="6">
        <v>1418</v>
      </c>
      <c r="M28" s="7" t="s">
        <v>97</v>
      </c>
    </row>
    <row r="29" spans="1:13">
      <c r="A29" s="8">
        <v>19</v>
      </c>
      <c r="B29" s="9" t="s">
        <v>99</v>
      </c>
      <c r="C29" s="9">
        <v>10.58</v>
      </c>
      <c r="D29" s="9">
        <v>1</v>
      </c>
      <c r="E29" s="9">
        <v>2493</v>
      </c>
      <c r="F29" s="9">
        <v>15</v>
      </c>
      <c r="G29" s="9">
        <v>24</v>
      </c>
      <c r="H29" s="9">
        <v>1</v>
      </c>
      <c r="I29" s="9">
        <v>86</v>
      </c>
      <c r="J29" s="9">
        <v>0.5</v>
      </c>
      <c r="K29" s="9">
        <v>-0.1</v>
      </c>
      <c r="L29" s="9">
        <v>1418</v>
      </c>
      <c r="M29" s="10" t="s">
        <v>100</v>
      </c>
    </row>
    <row r="30" spans="1:13">
      <c r="A30" s="5">
        <v>20</v>
      </c>
      <c r="B30" s="6" t="s">
        <v>102</v>
      </c>
      <c r="C30" s="6">
        <v>9.58</v>
      </c>
      <c r="D30" s="6">
        <v>1</v>
      </c>
      <c r="E30" s="6">
        <v>2493</v>
      </c>
      <c r="F30" s="6">
        <v>0</v>
      </c>
      <c r="G30" s="6">
        <v>24</v>
      </c>
      <c r="H30" s="6">
        <v>1.6</v>
      </c>
      <c r="I30" s="6">
        <v>86</v>
      </c>
      <c r="J30" s="6">
        <v>0.6</v>
      </c>
      <c r="K30" s="6">
        <v>-0.2</v>
      </c>
      <c r="L30" s="6">
        <v>1418</v>
      </c>
      <c r="M30" s="7" t="s">
        <v>103</v>
      </c>
    </row>
    <row r="31" spans="1:13">
      <c r="A31" s="8">
        <v>21</v>
      </c>
      <c r="B31" s="9" t="s">
        <v>102</v>
      </c>
      <c r="C31" s="9">
        <v>8.58</v>
      </c>
      <c r="D31" s="9">
        <v>1</v>
      </c>
      <c r="E31" s="9">
        <v>2494</v>
      </c>
      <c r="F31" s="9">
        <v>1</v>
      </c>
      <c r="G31" s="9">
        <v>0</v>
      </c>
      <c r="H31" s="9">
        <v>1.9</v>
      </c>
      <c r="I31" s="9">
        <v>0</v>
      </c>
      <c r="J31" s="9">
        <v>0.5</v>
      </c>
      <c r="K31" s="9">
        <v>0.2</v>
      </c>
      <c r="L31" s="9">
        <v>1418</v>
      </c>
      <c r="M31" s="10" t="s">
        <v>105</v>
      </c>
    </row>
    <row r="32" spans="1:13">
      <c r="A32" s="5">
        <v>22</v>
      </c>
      <c r="B32" s="6" t="s">
        <v>107</v>
      </c>
      <c r="C32" s="6">
        <v>7.58</v>
      </c>
      <c r="D32" s="6">
        <v>1</v>
      </c>
      <c r="E32" s="6">
        <v>2494</v>
      </c>
      <c r="F32" s="6">
        <v>0</v>
      </c>
      <c r="G32" s="6">
        <v>0</v>
      </c>
      <c r="H32" s="6">
        <v>3</v>
      </c>
      <c r="I32" s="6">
        <v>0</v>
      </c>
      <c r="J32" s="6">
        <v>0.6</v>
      </c>
      <c r="K32" s="6">
        <v>0.2</v>
      </c>
      <c r="L32" s="6">
        <v>1418</v>
      </c>
      <c r="M32" s="7" t="s">
        <v>108</v>
      </c>
    </row>
    <row r="33" spans="1:13">
      <c r="A33" s="8">
        <v>23</v>
      </c>
      <c r="B33" s="9" t="s">
        <v>107</v>
      </c>
      <c r="C33" s="9">
        <v>6.57</v>
      </c>
      <c r="D33" s="9">
        <v>0</v>
      </c>
      <c r="E33" s="9">
        <v>2494</v>
      </c>
      <c r="F33" s="9">
        <v>0</v>
      </c>
      <c r="G33" s="9">
        <v>0</v>
      </c>
      <c r="H33" s="9">
        <v>3.1</v>
      </c>
      <c r="I33" s="9">
        <v>0</v>
      </c>
      <c r="J33" s="9">
        <v>0.6</v>
      </c>
      <c r="K33" s="9">
        <v>0.3</v>
      </c>
      <c r="L33" s="9">
        <v>1418</v>
      </c>
      <c r="M33" s="10" t="s">
        <v>109</v>
      </c>
    </row>
    <row r="34" spans="1:13">
      <c r="A34" s="5">
        <v>24</v>
      </c>
      <c r="B34" s="6" t="s">
        <v>107</v>
      </c>
      <c r="C34" s="6">
        <v>5.57</v>
      </c>
      <c r="D34" s="6">
        <v>1</v>
      </c>
      <c r="E34" s="6">
        <v>2494</v>
      </c>
      <c r="F34" s="6">
        <v>0</v>
      </c>
      <c r="G34" s="6">
        <v>0</v>
      </c>
      <c r="H34" s="6">
        <v>3</v>
      </c>
      <c r="I34" s="6">
        <v>0</v>
      </c>
      <c r="J34" s="6">
        <v>0.6</v>
      </c>
      <c r="K34" s="6">
        <v>0.2</v>
      </c>
      <c r="L34" s="6">
        <v>1418</v>
      </c>
      <c r="M34" s="7" t="s">
        <v>111</v>
      </c>
    </row>
    <row r="35" spans="1:13">
      <c r="A35" s="8">
        <v>25</v>
      </c>
      <c r="B35" s="9" t="s">
        <v>113</v>
      </c>
      <c r="C35" s="9">
        <v>4.55</v>
      </c>
      <c r="D35" s="9">
        <v>0</v>
      </c>
      <c r="E35" s="9">
        <v>2495</v>
      </c>
      <c r="F35" s="9">
        <v>1</v>
      </c>
      <c r="G35" s="9">
        <v>0</v>
      </c>
      <c r="H35" s="9">
        <v>3</v>
      </c>
      <c r="I35" s="9">
        <v>0</v>
      </c>
      <c r="J35" s="9">
        <v>0.6</v>
      </c>
      <c r="K35" s="9">
        <v>0.3</v>
      </c>
      <c r="L35" s="9">
        <v>1418</v>
      </c>
      <c r="M35" s="10" t="s">
        <v>114</v>
      </c>
    </row>
    <row r="36" spans="1:13">
      <c r="A36" s="5">
        <v>26</v>
      </c>
      <c r="B36" s="6" t="s">
        <v>113</v>
      </c>
      <c r="C36" s="6">
        <v>3.52</v>
      </c>
      <c r="D36" s="6">
        <v>1</v>
      </c>
      <c r="E36" s="6">
        <v>2495</v>
      </c>
      <c r="F36" s="6">
        <v>0</v>
      </c>
      <c r="G36" s="6">
        <v>0</v>
      </c>
      <c r="H36" s="6">
        <v>3.1</v>
      </c>
      <c r="I36" s="6">
        <v>0</v>
      </c>
      <c r="J36" s="6">
        <v>0.5</v>
      </c>
      <c r="K36" s="6">
        <v>0.2</v>
      </c>
      <c r="L36" s="6">
        <v>1418</v>
      </c>
      <c r="M36" s="7" t="s">
        <v>116</v>
      </c>
    </row>
    <row r="37" spans="1:13">
      <c r="A37" s="8">
        <v>27</v>
      </c>
      <c r="B37" s="9" t="s">
        <v>117</v>
      </c>
      <c r="C37" s="9">
        <v>2.52</v>
      </c>
      <c r="D37" s="9">
        <v>1</v>
      </c>
      <c r="E37" s="9">
        <v>2495</v>
      </c>
      <c r="F37" s="9">
        <v>0</v>
      </c>
      <c r="G37" s="9">
        <v>0</v>
      </c>
      <c r="H37" s="9">
        <v>3.1</v>
      </c>
      <c r="I37" s="9">
        <v>0</v>
      </c>
      <c r="J37" s="9">
        <v>0.6</v>
      </c>
      <c r="K37" s="9">
        <v>0.3</v>
      </c>
      <c r="L37" s="9">
        <v>1418</v>
      </c>
      <c r="M37" s="10" t="s">
        <v>118</v>
      </c>
    </row>
    <row r="38" spans="1:13">
      <c r="A38" s="5">
        <v>28</v>
      </c>
      <c r="B38" s="6" t="s">
        <v>117</v>
      </c>
      <c r="C38" s="6">
        <v>1.52</v>
      </c>
      <c r="D38" s="6">
        <v>0</v>
      </c>
      <c r="E38" s="6">
        <v>2496</v>
      </c>
      <c r="F38" s="6">
        <v>1</v>
      </c>
      <c r="G38" s="6">
        <v>0</v>
      </c>
      <c r="H38" s="6">
        <v>3.1</v>
      </c>
      <c r="I38" s="6">
        <v>0</v>
      </c>
      <c r="J38" s="6">
        <v>0.5</v>
      </c>
      <c r="K38" s="6">
        <v>0.2</v>
      </c>
      <c r="L38" s="6">
        <v>1418</v>
      </c>
      <c r="M38" s="7" t="s">
        <v>120</v>
      </c>
    </row>
    <row r="39" spans="1:13">
      <c r="A39" s="11">
        <v>29</v>
      </c>
      <c r="B39" s="12" t="s">
        <v>117</v>
      </c>
      <c r="C39" s="12">
        <v>0.51</v>
      </c>
      <c r="D39" s="12">
        <v>0</v>
      </c>
      <c r="E39" s="12">
        <v>2496</v>
      </c>
      <c r="F39" s="12">
        <v>0</v>
      </c>
      <c r="G39" s="12">
        <v>0</v>
      </c>
      <c r="H39" s="12">
        <v>2.4</v>
      </c>
      <c r="I39" s="12">
        <v>0</v>
      </c>
      <c r="J39" s="12">
        <v>0.6</v>
      </c>
      <c r="K39" s="12">
        <v>0.3</v>
      </c>
      <c r="L39" s="12">
        <v>1418</v>
      </c>
      <c r="M39" s="13" t="s">
        <v>122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A0D5-F4C2-4DAF-8533-19B6F083B509}">
  <dimension ref="A1"/>
  <sheetViews>
    <sheetView workbookViewId="0"/>
  </sheetViews>
  <sheetFormatPr defaultRowHeight="1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87AE01-EE1D-4133-AFA3-3FC218A7F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A15-18-PK34</vt:lpstr>
      <vt:lpstr>A13-18-PK34</vt:lpstr>
      <vt:lpstr>A12-18-PK34</vt:lpstr>
      <vt:lpstr>A11-18-PK34</vt:lpstr>
      <vt:lpstr>A10-18-PK34</vt:lpstr>
      <vt:lpstr>A9-18-PK34</vt:lpstr>
      <vt:lpstr>A8-18-PK34</vt:lpstr>
      <vt:lpstr>A7-18-PK34</vt:lpstr>
      <vt:lpstr>A6-18-PK34</vt:lpstr>
      <vt:lpstr>A5-18-PK34</vt:lpstr>
      <vt:lpstr>A4-18-PK34</vt:lpstr>
      <vt:lpstr>A3-18-PK34</vt:lpstr>
      <vt:lpstr>A2-18-PK34</vt:lpstr>
      <vt:lpstr>A26-18-PK34</vt:lpstr>
      <vt:lpstr>A25-18-PK34</vt:lpstr>
      <vt:lpstr>A24-18-PK34</vt:lpstr>
      <vt:lpstr>A23-18-PK34</vt:lpstr>
      <vt:lpstr>A22-18-PK34</vt:lpstr>
      <vt:lpstr>A20-18-PK34</vt:lpstr>
      <vt:lpstr>19-18-PK34</vt:lpstr>
      <vt:lpstr>A18-18-PK34</vt:lpstr>
      <vt:lpstr>A17-18-PK34</vt:lpstr>
      <vt:lpstr>A16-18-PK34</vt:lpstr>
      <vt:lpstr>A14-18-PK34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Tới Hồ</dc:creator>
  <cp:lastModifiedBy>Tới Hồ</cp:lastModifiedBy>
  <dcterms:created xsi:type="dcterms:W3CDTF">2026-05-25T13:03:17Z</dcterms:created>
  <dcterms:modified xsi:type="dcterms:W3CDTF">2026-05-25T14:36:37Z</dcterms:modified>
</cp:coreProperties>
</file>